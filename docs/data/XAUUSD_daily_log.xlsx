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log'!$A$1:$U$1280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4173.55</v>
      </c>
      <c r="D1270" s="14" t="n">
        <v>4198.87</v>
      </c>
      <c r="E1270" s="14" t="n">
        <v>4147.48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81.33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79.31999999999999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76.8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161101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73.83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149523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4020.92</v>
      </c>
      <c r="F1274" s="14" t="n">
        <v>4026.14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77.25</v>
      </c>
      <c r="L1274" s="15" t="n">
        <v>34.65</v>
      </c>
      <c r="M1274" s="14" t="n">
        <v>4165.26</v>
      </c>
      <c r="N1274" s="14" t="n">
        <v>4240.51</v>
      </c>
      <c r="O1274" s="14" t="n">
        <v>4300.68</v>
      </c>
      <c r="P1274" s="4">
        <f>IF(O1274="","",IF(F1274&gt;O1274,"Above","Below"))</f>
        <v/>
      </c>
      <c r="Q1274" s="16" t="n">
        <v>214607</v>
      </c>
      <c r="R1274" s="17" t="n">
        <v>5</v>
      </c>
      <c r="S1274" s="17" t="n">
        <v>3</v>
      </c>
      <c r="T1274" s="17" t="n">
        <v>2</v>
      </c>
      <c r="U1274" s="18" t="n">
        <v>3</v>
      </c>
    </row>
    <row r="1275">
      <c r="A1275" s="13" t="n">
        <v>46318</v>
      </c>
      <c r="B1275" s="4">
        <f>TEXT(A1275,"ddd")</f>
        <v/>
      </c>
      <c r="C1275" s="14" t="n">
        <v>4026.45</v>
      </c>
      <c r="D1275" s="14" t="n">
        <v>4034.68</v>
      </c>
      <c r="E1275" s="14" t="n">
        <v>3975.83</v>
      </c>
      <c r="F1275" s="14" t="n">
        <v>4000.88</v>
      </c>
      <c r="G1275" s="9">
        <f>F1275-F1274</f>
        <v/>
      </c>
      <c r="H1275" s="10">
        <f>IF(F1274=0,0,G1275/F1274)</f>
        <v/>
      </c>
      <c r="I1275" s="8">
        <f>D1275-E1275</f>
        <v/>
      </c>
      <c r="J1275" s="4">
        <f>IF(F1275&gt;C1275,"Up",IF(F1275&lt;C1275,"Down","Flat"))</f>
        <v/>
      </c>
      <c r="K1275" s="14" t="n">
        <v>75.94</v>
      </c>
      <c r="L1275" s="15" t="n">
        <v>33.08</v>
      </c>
      <c r="M1275" s="14" t="n">
        <v>4149.61</v>
      </c>
      <c r="N1275" s="14" t="n">
        <v>4231.11</v>
      </c>
      <c r="O1275" s="14" t="n">
        <v>4297.7</v>
      </c>
      <c r="P1275" s="4">
        <f>IF(O1275="","",IF(F1275&gt;O1275,"Above","Below"))</f>
        <v/>
      </c>
      <c r="Q1275" s="16" t="n">
        <v>180320</v>
      </c>
      <c r="R1275" s="17" t="n">
        <v>2</v>
      </c>
      <c r="S1275" s="17" t="n">
        <v>0</v>
      </c>
      <c r="T1275" s="17" t="n">
        <v>2</v>
      </c>
      <c r="U1275" s="18" t="n">
        <v>-2</v>
      </c>
    </row>
    <row r="1276">
      <c r="A1276" s="13" t="n">
        <v>46321</v>
      </c>
      <c r="B1276" s="4">
        <f>TEXT(A1276,"ddd")</f>
        <v/>
      </c>
      <c r="C1276" s="14" t="n">
        <v>3993.57</v>
      </c>
      <c r="D1276" s="14" t="n">
        <v>4029.98</v>
      </c>
      <c r="E1276" s="14" t="n">
        <v>3977.58</v>
      </c>
      <c r="F1276" s="14" t="n">
        <v>4013.44</v>
      </c>
      <c r="G1276" s="9">
        <f>F1276-F1275</f>
        <v/>
      </c>
      <c r="H1276" s="10">
        <f>IF(F1275=0,0,G1276/F1275)</f>
        <v/>
      </c>
      <c r="I1276" s="8">
        <f>D1276-E1276</f>
        <v/>
      </c>
      <c r="J1276" s="4">
        <f>IF(F1276&gt;C1276,"Up",IF(F1276&lt;C1276,"Down","Flat"))</f>
        <v/>
      </c>
      <c r="K1276" s="14" t="n">
        <v>74.25</v>
      </c>
      <c r="L1276" s="15" t="n">
        <v>34.66</v>
      </c>
      <c r="M1276" s="14" t="n">
        <v>4136.64</v>
      </c>
      <c r="N1276" s="14" t="n">
        <v>4222.57</v>
      </c>
      <c r="O1276" s="14" t="n">
        <v>4294.87</v>
      </c>
      <c r="P1276" s="4">
        <f>IF(O1276="","",IF(F1276&gt;O1276,"Above","Below"))</f>
        <v/>
      </c>
      <c r="Q1276" s="16" t="n">
        <v>126007</v>
      </c>
      <c r="R1276" s="17" t="n">
        <v>0</v>
      </c>
      <c r="S1276" s="17" t="n">
        <v>0</v>
      </c>
      <c r="T1276" s="17" t="n">
        <v>0</v>
      </c>
      <c r="U1276" s="18" t="n">
        <v>0</v>
      </c>
    </row>
    <row r="1277">
      <c r="A1277" s="13" t="n">
        <v>46322</v>
      </c>
      <c r="B1277" s="4">
        <f>TEXT(A1277,"ddd")</f>
        <v/>
      </c>
      <c r="C1277" s="14" t="n">
        <v>4013.57</v>
      </c>
      <c r="D1277" s="14" t="n">
        <v>4065.54</v>
      </c>
      <c r="E1277" s="14" t="n">
        <v>3988.99</v>
      </c>
      <c r="F1277" s="14" t="n">
        <v>4062.29</v>
      </c>
      <c r="G1277" s="9">
        <f>F1277-F1276</f>
        <v/>
      </c>
      <c r="H1277" s="10">
        <f>IF(F1276=0,0,G1277/F1276)</f>
        <v/>
      </c>
      <c r="I1277" s="8">
        <f>D1277-E1277</f>
        <v/>
      </c>
      <c r="J1277" s="4">
        <f>IF(F1277&gt;C1277,"Up",IF(F1277&lt;C1277,"Down","Flat"))</f>
        <v/>
      </c>
      <c r="K1277" s="14" t="n">
        <v>74.42</v>
      </c>
      <c r="L1277" s="15" t="n">
        <v>40.55</v>
      </c>
      <c r="M1277" s="14" t="n">
        <v>4129.56</v>
      </c>
      <c r="N1277" s="14" t="n">
        <v>4216.29</v>
      </c>
      <c r="O1277" s="14" t="n">
        <v>4292.55</v>
      </c>
      <c r="P1277" s="4">
        <f>IF(O1277="","",IF(F1277&gt;O1277,"Above","Below"))</f>
        <v/>
      </c>
      <c r="Q1277" s="16" t="n">
        <v>139103</v>
      </c>
      <c r="R1277" s="17" t="n">
        <v>0</v>
      </c>
      <c r="S1277" s="17" t="n">
        <v>0</v>
      </c>
      <c r="T1277" s="17" t="n">
        <v>0</v>
      </c>
      <c r="U1277" s="18" t="n">
        <v>0</v>
      </c>
    </row>
    <row r="1278">
      <c r="A1278" s="13" t="n">
        <v>46323</v>
      </c>
      <c r="B1278" s="4">
        <f>TEXT(A1278,"ddd")</f>
        <v/>
      </c>
      <c r="C1278" s="14" t="n">
        <v>4061.98</v>
      </c>
      <c r="D1278" s="14" t="n">
        <v>4070.81</v>
      </c>
      <c r="E1278" s="14" t="n">
        <v>4028.01</v>
      </c>
      <c r="F1278" s="14" t="n">
        <v>4070.21</v>
      </c>
      <c r="G1278" s="9">
        <f>F1278-F1277</f>
        <v/>
      </c>
      <c r="H1278" s="10">
        <f>IF(F1277=0,0,G1278/F1277)</f>
        <v/>
      </c>
      <c r="I1278" s="8">
        <f>D1278-E1278</f>
        <v/>
      </c>
      <c r="J1278" s="4">
        <f>IF(F1278&gt;C1278,"Up",IF(F1278&lt;C1278,"Down","Flat"))</f>
        <v/>
      </c>
      <c r="K1278" s="14" t="n">
        <v>72.16</v>
      </c>
      <c r="L1278" s="15" t="n">
        <v>41.47</v>
      </c>
      <c r="M1278" s="14" t="n">
        <v>4123.9</v>
      </c>
      <c r="N1278" s="14" t="n">
        <v>4210.56</v>
      </c>
      <c r="O1278" s="14" t="n">
        <v>4290.34</v>
      </c>
      <c r="P1278" s="4">
        <f>IF(O1278="","",IF(F1278&gt;O1278,"Above","Below"))</f>
        <v/>
      </c>
      <c r="Q1278" s="16" t="n">
        <v>151463</v>
      </c>
      <c r="R1278" s="17" t="n">
        <v>1</v>
      </c>
      <c r="S1278" s="17" t="n">
        <v>0</v>
      </c>
      <c r="T1278" s="17" t="n">
        <v>1</v>
      </c>
      <c r="U1278" s="18" t="n">
        <v>0</v>
      </c>
    </row>
    <row r="1279">
      <c r="A1279" s="13" t="n">
        <v>46324</v>
      </c>
      <c r="B1279" s="4">
        <f>TEXT(A1279,"ddd")</f>
        <v/>
      </c>
      <c r="C1279" s="14" t="n">
        <v>4068.99</v>
      </c>
      <c r="D1279" s="14" t="n">
        <v>4081.97</v>
      </c>
      <c r="E1279" s="14" t="n">
        <v>4006.15</v>
      </c>
      <c r="F1279" s="14" t="n">
        <v>4022.12</v>
      </c>
      <c r="G1279" s="9">
        <f>F1279-F1278</f>
        <v/>
      </c>
      <c r="H1279" s="10">
        <f>IF(F1278=0,0,G1279/F1278)</f>
        <v/>
      </c>
      <c r="I1279" s="8">
        <f>D1279-E1279</f>
        <v/>
      </c>
      <c r="J1279" s="4">
        <f>IF(F1279&gt;C1279,"Up",IF(F1279&lt;C1279,"Down","Flat"))</f>
        <v/>
      </c>
      <c r="K1279" s="14" t="n">
        <v>72.42</v>
      </c>
      <c r="L1279" s="15" t="n">
        <v>37.66</v>
      </c>
      <c r="M1279" s="14" t="n">
        <v>4114.21</v>
      </c>
      <c r="N1279" s="14" t="n">
        <v>4203.17</v>
      </c>
      <c r="O1279" s="14" t="n">
        <v>4287.67</v>
      </c>
      <c r="P1279" s="4">
        <f>IF(O1279="","",IF(F1279&gt;O1279,"Above","Below"))</f>
        <v/>
      </c>
      <c r="Q1279" s="16" t="n">
        <v>151463</v>
      </c>
      <c r="R1279" s="17" t="n">
        <v>2</v>
      </c>
      <c r="S1279" s="17" t="n">
        <v>0</v>
      </c>
      <c r="T1279" s="17" t="n">
        <v>2</v>
      </c>
      <c r="U1279" s="18" t="n">
        <v>0</v>
      </c>
    </row>
    <row r="1280">
      <c r="A1280" s="13" t="n">
        <v>46325</v>
      </c>
      <c r="B1280" s="4">
        <f>TEXT(A1280,"ddd")</f>
        <v/>
      </c>
      <c r="C1280" s="14" t="n">
        <v>4022.3</v>
      </c>
      <c r="D1280" s="14" t="n">
        <v>4030.8</v>
      </c>
      <c r="E1280" s="14" t="n">
        <v>3871.19</v>
      </c>
      <c r="F1280" s="14" t="n">
        <v>3883.59</v>
      </c>
      <c r="G1280" s="9">
        <f>F1280-F1279</f>
        <v/>
      </c>
      <c r="H1280" s="10">
        <f>IF(F1279=0,0,G1280/F1279)</f>
        <v/>
      </c>
      <c r="I1280" s="8">
        <f>D1280-E1280</f>
        <v/>
      </c>
      <c r="J1280" s="4">
        <f>IF(F1280&gt;C1280,"Up",IF(F1280&lt;C1280,"Down","Flat"))</f>
        <v/>
      </c>
      <c r="K1280" s="14" t="n">
        <v>78.65000000000001</v>
      </c>
      <c r="L1280" s="15" t="n">
        <v>29.29</v>
      </c>
      <c r="M1280" s="14" t="n">
        <v>4092.25</v>
      </c>
      <c r="N1280" s="14" t="n">
        <v>4190.64</v>
      </c>
      <c r="O1280" s="14" t="n">
        <v>4283.65</v>
      </c>
      <c r="P1280" s="4">
        <f>IF(O1280="","",IF(F1280&gt;O1280,"Above","Below"))</f>
        <v/>
      </c>
      <c r="Q1280" s="16" t="n">
        <v>230038</v>
      </c>
      <c r="R1280" s="17" t="n">
        <v>2</v>
      </c>
      <c r="S1280" s="17" t="n">
        <v>0</v>
      </c>
      <c r="T1280" s="17" t="n">
        <v>2</v>
      </c>
      <c r="U1280" s="18" t="n">
        <v>-1</v>
      </c>
    </row>
  </sheetData>
  <autoFilter ref="A1:U1280"/>
  <conditionalFormatting sqref="G2:H128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80">
    <cfRule type="expression" priority="3" dxfId="0">
      <formula>J2="Up"</formula>
    </cfRule>
    <cfRule type="expression" priority="4" dxfId="1">
      <formula>J2="Down"</formula>
    </cfRule>
  </conditionalFormatting>
  <conditionalFormatting sqref="U2:U128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2026-10-31T01:41:31Z</dcterms:created>
  <dcterms:modified xmlns:dcterms="http://purl.org/dc/terms/" xmlns:xsi="http://www.w3.org/2001/XMLSchema-instance" xsi:type="dcterms:W3CDTF">2026-10-31T01:41:32Z</dcterms:modified>
</cp:coreProperties>
</file>