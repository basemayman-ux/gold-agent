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log'!$A$1:$U$1272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159510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4155.78</v>
      </c>
      <c r="D1270" s="14" t="n">
        <v>4198.62</v>
      </c>
      <c r="E1270" s="14" t="n">
        <v>4147.39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81.31999999999999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159510</v>
      </c>
      <c r="R1270" s="17" t="n">
        <v>0</v>
      </c>
      <c r="S1270" s="17" t="n">
        <v>0</v>
      </c>
      <c r="T1270" s="17" t="n">
        <v>0</v>
      </c>
      <c r="U1270" s="18" t="n">
        <v>0</v>
      </c>
    </row>
    <row r="1271">
      <c r="A1271" s="13" t="n">
        <v>46314</v>
      </c>
      <c r="B1271" s="4">
        <f>TEXT(A1271,"ddd")</f>
        <v/>
      </c>
      <c r="C1271" s="14" t="n">
        <v>4165.5</v>
      </c>
      <c r="D1271" s="14" t="n">
        <v>4190.13</v>
      </c>
      <c r="E1271" s="14" t="n">
        <v>4137</v>
      </c>
      <c r="F1271" s="14" t="n">
        <v>4141.53</v>
      </c>
      <c r="G1271" s="9">
        <f>F1271-F1270</f>
        <v/>
      </c>
      <c r="H1271" s="10">
        <f>IF(F1270=0,0,G1271/F1270)</f>
        <v/>
      </c>
      <c r="I1271" s="8">
        <f>D1271-E1271</f>
        <v/>
      </c>
      <c r="J1271" s="4">
        <f>IF(F1271&gt;C1271,"Up",IF(F1271&lt;C1271,"Down","Flat"))</f>
        <v/>
      </c>
      <c r="K1271" s="14" t="n">
        <v>79.31</v>
      </c>
      <c r="L1271" s="15" t="n">
        <v>42.79</v>
      </c>
      <c r="M1271" s="14" t="n">
        <v>4191.4</v>
      </c>
      <c r="N1271" s="14" t="n">
        <v>4259.37</v>
      </c>
      <c r="O1271" s="14" t="n">
        <v>4306.99</v>
      </c>
      <c r="P1271" s="4">
        <f>IF(O1271="","",IF(F1271&gt;O1271,"Above","Below"))</f>
        <v/>
      </c>
      <c r="Q1271" s="16" t="n">
        <v>6416</v>
      </c>
      <c r="R1271" s="17" t="n">
        <v>4</v>
      </c>
      <c r="S1271" s="17" t="n">
        <v>1</v>
      </c>
      <c r="T1271" s="17" t="n">
        <v>3</v>
      </c>
      <c r="U1271" s="18" t="n">
        <v>-1</v>
      </c>
    </row>
    <row r="1272">
      <c r="A1272" s="13" t="n">
        <v>46315</v>
      </c>
      <c r="B1272" s="4">
        <f>TEXT(A1272,"ddd")</f>
        <v/>
      </c>
      <c r="C1272" s="14" t="n">
        <v>4141.76</v>
      </c>
      <c r="D1272" s="14" t="n">
        <v>4144.39</v>
      </c>
      <c r="E1272" s="14" t="n">
        <v>4123.4</v>
      </c>
      <c r="F1272" s="14" t="n">
        <v>4125.15</v>
      </c>
      <c r="G1272" s="9">
        <f>F1272-F1271</f>
        <v/>
      </c>
      <c r="H1272" s="10">
        <f>IF(F1271=0,0,G1272/F1271)</f>
        <v/>
      </c>
      <c r="I1272" s="8">
        <f>D1272-E1272</f>
        <v/>
      </c>
      <c r="J1272" s="4">
        <f>IF(F1272&gt;C1272,"Up",IF(F1272&lt;C1272,"Down","Flat"))</f>
        <v/>
      </c>
      <c r="K1272" s="14" t="n">
        <v>75.14</v>
      </c>
      <c r="L1272" s="15" t="n">
        <v>41.44</v>
      </c>
      <c r="M1272" s="14" t="n">
        <v>4185.09</v>
      </c>
      <c r="N1272" s="14" t="n">
        <v>4254.11</v>
      </c>
      <c r="O1272" s="14" t="n">
        <v>4305.18</v>
      </c>
      <c r="P1272" s="4">
        <f>IF(O1272="","",IF(F1272&gt;O1272,"Above","Below"))</f>
        <v/>
      </c>
      <c r="Q1272" s="16" t="n"/>
      <c r="R1272" s="17" t="n">
        <v>0</v>
      </c>
      <c r="S1272" s="17" t="n">
        <v>0</v>
      </c>
      <c r="T1272" s="17" t="n">
        <v>0</v>
      </c>
      <c r="U1272" s="18" t="n">
        <v>0</v>
      </c>
    </row>
  </sheetData>
  <autoFilter ref="A1:U1272"/>
  <conditionalFormatting sqref="G2:H1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72">
    <cfRule type="expression" priority="3" dxfId="0">
      <formula>J2="Up"</formula>
    </cfRule>
    <cfRule type="expression" priority="4" dxfId="1">
      <formula>J2="Down"</formula>
    </cfRule>
  </conditionalFormatting>
  <conditionalFormatting sqref="U2:U1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2026-10-20T01:07:34Z</dcterms:created>
  <dcterms:modified xmlns:dcterms="http://purl.org/dc/terms/" xmlns:xsi="http://www.w3.org/2001/XMLSchema-instance" xsi:type="dcterms:W3CDTF">2026-10-20T01:07:35Z</dcterms:modified>
</cp:coreProperties>
</file>