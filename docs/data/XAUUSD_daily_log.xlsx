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log'!$A$1:$U$1273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4360.4</v>
      </c>
      <c r="D1243" s="14" t="n">
        <v>4434.18</v>
      </c>
      <c r="E1243" s="14" t="n">
        <v>4341.44</v>
      </c>
      <c r="F1243" s="14" t="n">
        <v>4401.55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108.18</v>
      </c>
      <c r="L1243" s="15" t="n">
        <v>48.73</v>
      </c>
      <c r="M1243" s="14" t="n">
        <v>4438.32</v>
      </c>
      <c r="N1243" s="14" t="n">
        <v>4381.5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4404.82</v>
      </c>
      <c r="D1244" s="14" t="n">
        <v>4433</v>
      </c>
      <c r="E1244" s="14" t="n">
        <v>4313.71</v>
      </c>
      <c r="F1244" s="14" t="n">
        <v>4317.3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108.98</v>
      </c>
      <c r="L1244" s="15" t="n">
        <v>43.57</v>
      </c>
      <c r="M1244" s="14" t="n">
        <v>4426.8</v>
      </c>
      <c r="N1244" s="14" t="n">
        <v>4378.98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4319.31</v>
      </c>
      <c r="D1245" s="14" t="n">
        <v>4402.7</v>
      </c>
      <c r="E1245" s="14" t="n">
        <v>4295.55</v>
      </c>
      <c r="F1245" s="14" t="n">
        <v>4348.72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108.84</v>
      </c>
      <c r="L1245" s="15" t="n">
        <v>45.87</v>
      </c>
      <c r="M1245" s="14" t="n">
        <v>4419.36</v>
      </c>
      <c r="N1245" s="14" t="n">
        <v>4377.8</v>
      </c>
      <c r="O1245" s="14" t="n">
        <v>4336.22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4332.7</v>
      </c>
      <c r="D1246" s="14" t="n">
        <v>4355.65</v>
      </c>
      <c r="E1246" s="14" t="n">
        <v>4253.3</v>
      </c>
      <c r="F1246" s="14" t="n">
        <v>4298.8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108.38</v>
      </c>
      <c r="L1246" s="15" t="n">
        <v>42.88</v>
      </c>
      <c r="M1246" s="14" t="n">
        <v>4407.88</v>
      </c>
      <c r="N1246" s="14" t="n">
        <v>4374.7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4299.35</v>
      </c>
      <c r="D1247" s="14" t="n">
        <v>4318.08</v>
      </c>
      <c r="E1247" s="14" t="n">
        <v>4261.39</v>
      </c>
      <c r="F1247" s="14" t="n">
        <v>4294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104.69</v>
      </c>
      <c r="L1247" s="15" t="n">
        <v>42.59</v>
      </c>
      <c r="M1247" s="14" t="n">
        <v>4397.03</v>
      </c>
      <c r="N1247" s="14" t="n">
        <v>4371.53</v>
      </c>
      <c r="O1247" s="14" t="n">
        <v>4335.43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4294.5</v>
      </c>
      <c r="D1248" s="14" t="n">
        <v>4368.04</v>
      </c>
      <c r="E1248" s="14" t="n">
        <v>4235.08</v>
      </c>
      <c r="F1248" s="14" t="n">
        <v>4263.5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106.71</v>
      </c>
      <c r="L1248" s="15" t="n">
        <v>40.72</v>
      </c>
      <c r="M1248" s="14" t="n">
        <v>4384.32</v>
      </c>
      <c r="N1248" s="14" t="n">
        <v>4367.3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4263.97</v>
      </c>
      <c r="D1249" s="14" t="n">
        <v>4382.63</v>
      </c>
      <c r="E1249" s="14" t="n">
        <v>4257.55</v>
      </c>
      <c r="F1249" s="14" t="n">
        <v>4341.3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108.02</v>
      </c>
      <c r="L1249" s="15" t="n">
        <v>47.1</v>
      </c>
      <c r="M1249" s="14" t="n">
        <v>4380.22</v>
      </c>
      <c r="N1249" s="14" t="n">
        <v>4366.28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4342.73</v>
      </c>
      <c r="D1250" s="14" t="n">
        <v>4399.77</v>
      </c>
      <c r="E1250" s="14" t="n">
        <v>4334.34</v>
      </c>
      <c r="F1250" s="14" t="n">
        <v>4378.17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104.98</v>
      </c>
      <c r="L1250" s="15" t="n">
        <v>49.86</v>
      </c>
      <c r="M1250" s="14" t="n">
        <v>4380.02</v>
      </c>
      <c r="N1250" s="14" t="n">
        <v>4366.74</v>
      </c>
      <c r="O1250" s="14" t="n">
        <v>4335.21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4383.44</v>
      </c>
      <c r="D1251" s="14" t="n">
        <v>4387.51</v>
      </c>
      <c r="E1251" s="14" t="n">
        <v>4322.63</v>
      </c>
      <c r="F1251" s="14" t="n">
        <v>4343.56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102.11</v>
      </c>
      <c r="L1251" s="15" t="n">
        <v>47.36</v>
      </c>
      <c r="M1251" s="14" t="n">
        <v>4376.55</v>
      </c>
      <c r="N1251" s="14" t="n">
        <v>4365.84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4343.57</v>
      </c>
      <c r="D1252" s="14" t="n">
        <v>4378.25</v>
      </c>
      <c r="E1252" s="14" t="n">
        <v>4291.42</v>
      </c>
      <c r="F1252" s="14" t="n">
        <v>4355.48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101.02</v>
      </c>
      <c r="L1252" s="15" t="n">
        <v>48.32</v>
      </c>
      <c r="M1252" s="14" t="n">
        <v>4374.54</v>
      </c>
      <c r="N1252" s="14" t="n">
        <v>4365.43</v>
      </c>
      <c r="O1252" s="14" t="n">
        <v>4335.49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4357.02</v>
      </c>
      <c r="D1253" s="14" t="n">
        <v>4371.45</v>
      </c>
      <c r="E1253" s="14" t="n">
        <v>4274.73</v>
      </c>
      <c r="F1253" s="14" t="n">
        <v>4287.51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100.71</v>
      </c>
      <c r="L1253" s="15" t="n">
        <v>43.46</v>
      </c>
      <c r="M1253" s="14" t="n">
        <v>4366.26</v>
      </c>
      <c r="N1253" s="14" t="n">
        <v>4362.37</v>
      </c>
      <c r="O1253" s="14" t="n">
        <v>4335.02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4287.38</v>
      </c>
      <c r="D1254" s="14" t="n">
        <v>4304.95</v>
      </c>
      <c r="E1254" s="14" t="n">
        <v>4244.63</v>
      </c>
      <c r="F1254" s="14" t="n">
        <v>4278.52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97.83</v>
      </c>
      <c r="L1254" s="15" t="n">
        <v>42.85</v>
      </c>
      <c r="M1254" s="14" t="n">
        <v>4357.9</v>
      </c>
      <c r="N1254" s="14" t="n">
        <v>4359.09</v>
      </c>
      <c r="O1254" s="14" t="n">
        <v>4334.45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4279.12</v>
      </c>
      <c r="D1255" s="14" t="n">
        <v>4316.81</v>
      </c>
      <c r="E1255" s="14" t="n">
        <v>4254.45</v>
      </c>
      <c r="F1255" s="14" t="n">
        <v>4287.25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95.3</v>
      </c>
      <c r="L1255" s="15" t="n">
        <v>43.68</v>
      </c>
      <c r="M1255" s="14" t="n">
        <v>4351.17</v>
      </c>
      <c r="N1255" s="14" t="n">
        <v>4356.27</v>
      </c>
      <c r="O1255" s="14" t="n">
        <v>4333.98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4277.9</v>
      </c>
      <c r="D1256" s="14" t="n">
        <v>4280.56</v>
      </c>
      <c r="E1256" s="14" t="n">
        <v>4110.95</v>
      </c>
      <c r="F1256" s="14" t="n">
        <v>4115.27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101.08</v>
      </c>
      <c r="L1256" s="15" t="n">
        <v>33.37</v>
      </c>
      <c r="M1256" s="14" t="n">
        <v>4328.7</v>
      </c>
      <c r="N1256" s="14" t="n">
        <v>4346.82</v>
      </c>
      <c r="O1256" s="14" t="n">
        <v>4331.81</v>
      </c>
      <c r="P1256" s="4">
        <f>IF(O1256="","",IF(F1256&gt;O1256,"Above","Below"))</f>
        <v/>
      </c>
      <c r="Q1256" s="16" t="n">
        <v>140092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4113.87</v>
      </c>
      <c r="D1257" s="14" t="n">
        <v>4185.42</v>
      </c>
      <c r="E1257" s="14" t="n">
        <v>4113.57</v>
      </c>
      <c r="F1257" s="14" t="n">
        <v>4182.8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98.98999999999999</v>
      </c>
      <c r="L1257" s="15" t="n">
        <v>39.42</v>
      </c>
      <c r="M1257" s="14" t="n">
        <v>4314.81</v>
      </c>
      <c r="N1257" s="14" t="n">
        <v>4340.39</v>
      </c>
      <c r="O1257" s="14" t="n">
        <v>4330.32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4182.8</v>
      </c>
      <c r="D1258" s="14" t="n">
        <v>4219.46</v>
      </c>
      <c r="E1258" s="14" t="n">
        <v>4147.47</v>
      </c>
      <c r="F1258" s="14" t="n">
        <v>4157.34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97.06999999999999</v>
      </c>
      <c r="L1258" s="15" t="n">
        <v>38.02</v>
      </c>
      <c r="M1258" s="14" t="n">
        <v>4299.81</v>
      </c>
      <c r="N1258" s="14" t="n">
        <v>4333.21</v>
      </c>
      <c r="O1258" s="14" t="n">
        <v>4328.6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4157.35</v>
      </c>
      <c r="D1259" s="14" t="n">
        <v>4193.03</v>
      </c>
      <c r="E1259" s="14" t="n">
        <v>4139.29</v>
      </c>
      <c r="F1259" s="14" t="n">
        <v>4178.86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93.97</v>
      </c>
      <c r="L1259" s="15" t="n">
        <v>39.96</v>
      </c>
      <c r="M1259" s="14" t="n">
        <v>4288.29</v>
      </c>
      <c r="N1259" s="14" t="n">
        <v>4327.15</v>
      </c>
      <c r="O1259" s="14" t="n">
        <v>4327.11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4175.31</v>
      </c>
      <c r="D1260" s="14" t="n">
        <v>4225.62</v>
      </c>
      <c r="E1260" s="14" t="n">
        <v>4125.25</v>
      </c>
      <c r="F1260" s="14" t="n">
        <v>4142.96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94.43000000000001</v>
      </c>
      <c r="L1260" s="15" t="n">
        <v>37.83</v>
      </c>
      <c r="M1260" s="14" t="n">
        <v>4274.45</v>
      </c>
      <c r="N1260" s="14" t="n">
        <v>4319.93</v>
      </c>
      <c r="O1260" s="14" t="n">
        <v>4325.28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4144.15</v>
      </c>
      <c r="D1261" s="14" t="n">
        <v>4170.51</v>
      </c>
      <c r="E1261" s="14" t="n">
        <v>4122.9</v>
      </c>
      <c r="F1261" s="14" t="n">
        <v>4139.89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91.08</v>
      </c>
      <c r="L1261" s="15" t="n">
        <v>37.64</v>
      </c>
      <c r="M1261" s="14" t="n">
        <v>4261.64</v>
      </c>
      <c r="N1261" s="14" t="n">
        <v>4312.87</v>
      </c>
      <c r="O1261" s="14" t="n">
        <v>4323.44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4141.35</v>
      </c>
      <c r="D1262" s="14" t="n">
        <v>4184.46</v>
      </c>
      <c r="E1262" s="14" t="n">
        <v>4104.32</v>
      </c>
      <c r="F1262" s="14" t="n">
        <v>4164.35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90.3</v>
      </c>
      <c r="L1262" s="15" t="n">
        <v>40.15</v>
      </c>
      <c r="M1262" s="14" t="n">
        <v>4252.37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4164.65</v>
      </c>
      <c r="D1263" s="14" t="n">
        <v>4170.12</v>
      </c>
      <c r="E1263" s="14" t="n">
        <v>4066.06</v>
      </c>
      <c r="F1263" s="14" t="n">
        <v>4111.05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91.28</v>
      </c>
      <c r="L1263" s="15" t="n">
        <v>36.69</v>
      </c>
      <c r="M1263" s="14" t="n">
        <v>4238.91</v>
      </c>
      <c r="N1263" s="14" t="n">
        <v>4299.36</v>
      </c>
      <c r="O1263" s="14" t="n">
        <v>4319.76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4110.4</v>
      </c>
      <c r="D1264" s="14" t="n">
        <v>4146.3</v>
      </c>
      <c r="E1264" s="14" t="n">
        <v>4103.13</v>
      </c>
      <c r="F1264" s="14" t="n">
        <v>4134.93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87.84999999999999</v>
      </c>
      <c r="L1264" s="15" t="n">
        <v>39.22</v>
      </c>
      <c r="M1264" s="14" t="n">
        <v>4229.01</v>
      </c>
      <c r="N1264" s="14" t="n">
        <v>4292.91</v>
      </c>
      <c r="O1264" s="14" t="n">
        <v>4317.92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4134.7</v>
      </c>
      <c r="D1265" s="14" t="n">
        <v>4207.69</v>
      </c>
      <c r="E1265" s="14" t="n">
        <v>4130.52</v>
      </c>
      <c r="F1265" s="14" t="n">
        <v>4194.46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87.09</v>
      </c>
      <c r="L1265" s="15" t="n">
        <v>45.11</v>
      </c>
      <c r="M1265" s="14" t="n">
        <v>4225.72</v>
      </c>
      <c r="N1265" s="14" t="n">
        <v>4289.05</v>
      </c>
      <c r="O1265" s="14" t="n">
        <v>4316.69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4194.25</v>
      </c>
      <c r="D1266" s="14" t="n">
        <v>4217.47</v>
      </c>
      <c r="E1266" s="14" t="n">
        <v>4154.6</v>
      </c>
      <c r="F1266" s="14" t="n">
        <v>4171.69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85.36</v>
      </c>
      <c r="L1266" s="15" t="n">
        <v>43.37</v>
      </c>
      <c r="M1266" s="14" t="n">
        <v>4220.57</v>
      </c>
      <c r="N1266" s="14" t="n">
        <v>4284.45</v>
      </c>
      <c r="O1266" s="14" t="n">
        <v>4315.25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4171.69</v>
      </c>
      <c r="D1267" s="14" t="n">
        <v>4200.64</v>
      </c>
      <c r="E1267" s="14" t="n">
        <v>4147.01</v>
      </c>
      <c r="F1267" s="14" t="n">
        <v>4157.95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83.09</v>
      </c>
      <c r="L1267" s="15" t="n">
        <v>42.32</v>
      </c>
      <c r="M1267" s="14" t="n">
        <v>4214.61</v>
      </c>
      <c r="N1267" s="14" t="n">
        <v>4279.49</v>
      </c>
      <c r="O1267" s="14" t="n">
        <v>4313.68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4161</v>
      </c>
      <c r="D1268" s="14" t="n">
        <v>4170.48</v>
      </c>
      <c r="E1268" s="14" t="n">
        <v>4073.44</v>
      </c>
      <c r="F1268" s="14" t="n">
        <v>4105.7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84.09</v>
      </c>
      <c r="L1268" s="15" t="n">
        <v>38.49</v>
      </c>
      <c r="M1268" s="14" t="n">
        <v>4204.24</v>
      </c>
      <c r="N1268" s="14" t="n">
        <v>4272.67</v>
      </c>
      <c r="O1268" s="14" t="n">
        <v>4311.61</v>
      </c>
      <c r="P1268" s="4">
        <f>IF(O1268="","",IF(F1268&gt;O1268,"Above","Below"))</f>
        <v/>
      </c>
      <c r="Q1268" s="16" t="n">
        <v>191279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4105.2</v>
      </c>
      <c r="D1269" s="14" t="n">
        <v>4177.59</v>
      </c>
      <c r="E1269" s="14" t="n">
        <v>4099.77</v>
      </c>
      <c r="F1269" s="14" t="n">
        <v>4156.11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83.64</v>
      </c>
      <c r="L1269" s="15" t="n">
        <v>43.78</v>
      </c>
      <c r="M1269" s="14" t="n">
        <v>4199.65</v>
      </c>
      <c r="N1269" s="14" t="n">
        <v>4268.1</v>
      </c>
      <c r="O1269" s="14" t="n">
        <v>4310.06</v>
      </c>
      <c r="P1269" s="4">
        <f>IF(O1269="","",IF(F1269&gt;O1269,"Above","Below"))</f>
        <v/>
      </c>
      <c r="Q1269" s="16" t="n">
        <v>159510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4155.78</v>
      </c>
      <c r="D1270" s="14" t="n">
        <v>4198.62</v>
      </c>
      <c r="E1270" s="14" t="n">
        <v>4147.39</v>
      </c>
      <c r="F1270" s="14" t="n">
        <v>4168.17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81.31999999999999</v>
      </c>
      <c r="L1270" s="15" t="n">
        <v>45</v>
      </c>
      <c r="M1270" s="14" t="n">
        <v>4196.65</v>
      </c>
      <c r="N1270" s="14" t="n">
        <v>4264.18</v>
      </c>
      <c r="O1270" s="14" t="n">
        <v>4308.65</v>
      </c>
      <c r="P1270" s="4">
        <f>IF(O1270="","",IF(F1270&gt;O1270,"Above","Below"))</f>
        <v/>
      </c>
      <c r="Q1270" s="16" t="n">
        <v>137939</v>
      </c>
      <c r="R1270" s="17" t="n">
        <v>0</v>
      </c>
      <c r="S1270" s="17" t="n">
        <v>0</v>
      </c>
      <c r="T1270" s="17" t="n">
        <v>0</v>
      </c>
      <c r="U1270" s="18" t="n">
        <v>0</v>
      </c>
    </row>
    <row r="1271">
      <c r="A1271" s="13" t="n">
        <v>46314</v>
      </c>
      <c r="B1271" s="4">
        <f>TEXT(A1271,"ddd")</f>
        <v/>
      </c>
      <c r="C1271" s="14" t="n">
        <v>4165.5</v>
      </c>
      <c r="D1271" s="14" t="n">
        <v>4190.13</v>
      </c>
      <c r="E1271" s="14" t="n">
        <v>4137</v>
      </c>
      <c r="F1271" s="14" t="n">
        <v>4141.53</v>
      </c>
      <c r="G1271" s="9">
        <f>F1271-F1270</f>
        <v/>
      </c>
      <c r="H1271" s="10">
        <f>IF(F1270=0,0,G1271/F1270)</f>
        <v/>
      </c>
      <c r="I1271" s="8">
        <f>D1271-E1271</f>
        <v/>
      </c>
      <c r="J1271" s="4">
        <f>IF(F1271&gt;C1271,"Up",IF(F1271&lt;C1271,"Down","Flat"))</f>
        <v/>
      </c>
      <c r="K1271" s="14" t="n">
        <v>79.31</v>
      </c>
      <c r="L1271" s="15" t="n">
        <v>42.79</v>
      </c>
      <c r="M1271" s="14" t="n">
        <v>4191.4</v>
      </c>
      <c r="N1271" s="14" t="n">
        <v>4259.37</v>
      </c>
      <c r="O1271" s="14" t="n">
        <v>4306.99</v>
      </c>
      <c r="P1271" s="4">
        <f>IF(O1271="","",IF(F1271&gt;O1271,"Above","Below"))</f>
        <v/>
      </c>
      <c r="Q1271" s="16" t="n">
        <v>137939</v>
      </c>
      <c r="R1271" s="17" t="n">
        <v>4</v>
      </c>
      <c r="S1271" s="17" t="n">
        <v>1</v>
      </c>
      <c r="T1271" s="17" t="n">
        <v>3</v>
      </c>
      <c r="U1271" s="18" t="n">
        <v>-1</v>
      </c>
    </row>
    <row r="1272">
      <c r="A1272" s="13" t="n">
        <v>46315</v>
      </c>
      <c r="B1272" s="4">
        <f>TEXT(A1272,"ddd")</f>
        <v/>
      </c>
      <c r="C1272" s="14" t="n">
        <v>4141.76</v>
      </c>
      <c r="D1272" s="14" t="n">
        <v>4155.9</v>
      </c>
      <c r="E1272" s="14" t="n">
        <v>4111.84</v>
      </c>
      <c r="F1272" s="14" t="n">
        <v>4120.8</v>
      </c>
      <c r="G1272" s="9">
        <f>F1272-F1271</f>
        <v/>
      </c>
      <c r="H1272" s="10">
        <f>IF(F1271=0,0,G1272/F1271)</f>
        <v/>
      </c>
      <c r="I1272" s="8">
        <f>D1272-E1272</f>
        <v/>
      </c>
      <c r="J1272" s="4">
        <f>IF(F1272&gt;C1272,"Up",IF(F1272&lt;C1272,"Down","Flat"))</f>
        <v/>
      </c>
      <c r="K1272" s="14" t="n">
        <v>76.79000000000001</v>
      </c>
      <c r="L1272" s="15" t="n">
        <v>41.1</v>
      </c>
      <c r="M1272" s="14" t="n">
        <v>4184.68</v>
      </c>
      <c r="N1272" s="14" t="n">
        <v>4253.94</v>
      </c>
      <c r="O1272" s="14" t="n">
        <v>4305.14</v>
      </c>
      <c r="P1272" s="4">
        <f>IF(O1272="","",IF(F1272&gt;O1272,"Above","Below"))</f>
        <v/>
      </c>
      <c r="Q1272" s="16" t="n">
        <v>6869</v>
      </c>
      <c r="R1272" s="17" t="n">
        <v>3</v>
      </c>
      <c r="S1272" s="17" t="n">
        <v>0</v>
      </c>
      <c r="T1272" s="17" t="n">
        <v>3</v>
      </c>
      <c r="U1272" s="18" t="n">
        <v>-1</v>
      </c>
    </row>
    <row r="1273">
      <c r="A1273" s="13" t="n">
        <v>46316</v>
      </c>
      <c r="B1273" s="4">
        <f>TEXT(A1273,"ddd")</f>
        <v/>
      </c>
      <c r="C1273" s="14" t="n">
        <v>4120.72</v>
      </c>
      <c r="D1273" s="14" t="n">
        <v>4131.55</v>
      </c>
      <c r="E1273" s="14" t="n">
        <v>4112.24</v>
      </c>
      <c r="F1273" s="14" t="n">
        <v>4118.99</v>
      </c>
      <c r="G1273" s="9">
        <f>F1273-F1272</f>
        <v/>
      </c>
      <c r="H1273" s="10">
        <f>IF(F1272=0,0,G1273/F1272)</f>
        <v/>
      </c>
      <c r="I1273" s="8">
        <f>D1273-E1273</f>
        <v/>
      </c>
      <c r="J1273" s="4">
        <f>IF(F1273&gt;C1273,"Up",IF(F1273&lt;C1273,"Down","Flat"))</f>
        <v/>
      </c>
      <c r="K1273" s="14" t="n">
        <v>72.69</v>
      </c>
      <c r="L1273" s="15" t="n">
        <v>40.95</v>
      </c>
      <c r="M1273" s="14" t="n">
        <v>4178.42</v>
      </c>
      <c r="N1273" s="14" t="n">
        <v>4248.65</v>
      </c>
      <c r="O1273" s="14" t="n">
        <v>4303.28</v>
      </c>
      <c r="P1273" s="4">
        <f>IF(O1273="","",IF(F1273&gt;O1273,"Above","Below"))</f>
        <v/>
      </c>
      <c r="Q1273" s="16" t="n"/>
      <c r="R1273" s="17" t="n">
        <v>0</v>
      </c>
      <c r="S1273" s="17" t="n">
        <v>0</v>
      </c>
      <c r="T1273" s="17" t="n">
        <v>0</v>
      </c>
      <c r="U1273" s="18" t="n">
        <v>0</v>
      </c>
    </row>
  </sheetData>
  <autoFilter ref="A1:U1273"/>
  <conditionalFormatting sqref="G2:H1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73">
    <cfRule type="expression" priority="3" dxfId="0">
      <formula>J2="Up"</formula>
    </cfRule>
    <cfRule type="expression" priority="4" dxfId="1">
      <formula>J2="Down"</formula>
    </cfRule>
  </conditionalFormatting>
  <conditionalFormatting sqref="U2:U1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2026-10-21T00:42:14Z</dcterms:created>
  <dcterms:modified xmlns:dcterms="http://purl.org/dc/terms/" xmlns:xsi="http://www.w3.org/2001/XMLSchema-instance" xsi:type="dcterms:W3CDTF">2026-10-21T00:42:15Z</dcterms:modified>
</cp:coreProperties>
</file>