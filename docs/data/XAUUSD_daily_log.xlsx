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1" hidden="1">'Daily log'!$A$1:$U$1279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 mmm yyyy"/>
    <numFmt numFmtId="166" formatCode="+#,##0.00;-#,##0.00;0.00"/>
    <numFmt numFmtId="167" formatCode="+0.00%;-0.00%;0.00%"/>
    <numFmt numFmtId="168" formatCode="0.0"/>
    <numFmt numFmtId="169" formatCode="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4"/>
    </font>
    <font>
      <name val="Arial"/>
      <color rgb="00666666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6211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" fontId="3" fillId="0" borderId="1" pivotButton="0" quotePrefix="0" xfId="0"/>
    <xf numFmtId="0" fontId="5" fillId="0" borderId="1" pivotButton="0" quotePrefix="0" xfId="0"/>
    <xf numFmtId="165" fontId="3" fillId="0" borderId="1" pivotButton="0" quotePrefix="0" xfId="0"/>
    <xf numFmtId="4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49" fontId="3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168" fontId="2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169" fontId="2" fillId="0" borderId="1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>
      <c r="A1" s="1" t="inlineStr">
        <is>
          <t>XAUUSD daily log — summary</t>
        </is>
      </c>
    </row>
    <row r="2">
      <c r="A2" s="2" t="inlineStr">
        <is>
          <t>Source: Spot XAU/USD (Twelve Data). Updated automatically after each trading day.</t>
        </is>
      </c>
    </row>
    <row r="3" ht="30" customHeight="1">
      <c r="A3" s="3" t="inlineStr">
        <is>
          <t>Measure</t>
        </is>
      </c>
      <c r="B3" s="3" t="inlineStr">
        <is>
          <t>Value</t>
        </is>
      </c>
      <c r="C3" s="3" t="inlineStr">
        <is>
          <t>Note</t>
        </is>
      </c>
    </row>
    <row r="4">
      <c r="A4" s="4" t="inlineStr">
        <is>
          <t>Days logged</t>
        </is>
      </c>
      <c r="B4" s="5">
        <f>COUNTA('Daily log'!A:A)-1</f>
        <v/>
      </c>
      <c r="C4" s="6" t="inlineStr">
        <is>
          <t>Trading days in the log</t>
        </is>
      </c>
    </row>
    <row r="5">
      <c r="A5" s="4" t="inlineStr">
        <is>
          <t>Latest date</t>
        </is>
      </c>
      <c r="B5" s="7">
        <f>INDEX('Daily log'!A:A,$B$4+1)</f>
        <v/>
      </c>
      <c r="C5" s="6" t="inlineStr"/>
    </row>
    <row r="6">
      <c r="A6" s="4" t="inlineStr">
        <is>
          <t>Latest close ($)</t>
        </is>
      </c>
      <c r="B6" s="8">
        <f>INDEX('Daily log'!F:F,$B$4+1)</f>
        <v/>
      </c>
      <c r="C6" s="6" t="inlineStr"/>
    </row>
    <row r="7">
      <c r="A7" s="4" t="inlineStr">
        <is>
          <t>Day change ($)</t>
        </is>
      </c>
      <c r="B7" s="9">
        <f>INDEX('Daily log'!G:G,$B$4+1)</f>
        <v/>
      </c>
      <c r="C7" s="6" t="inlineStr"/>
    </row>
    <row r="8">
      <c r="A8" s="4" t="inlineStr">
        <is>
          <t>Day change (%)</t>
        </is>
      </c>
      <c r="B8" s="10">
        <f>INDEX('Daily log'!H:H,$B$4+1)</f>
        <v/>
      </c>
      <c r="C8" s="6" t="inlineStr"/>
    </row>
    <row r="9">
      <c r="A9" s="4" t="inlineStr">
        <is>
          <t>1 week change (%)</t>
        </is>
      </c>
      <c r="B9" s="10">
        <f>IFERROR(B6/INDEX('Daily log'!F:F,$B$4+1-5)-1,"")</f>
        <v/>
      </c>
      <c r="C9" s="6" t="inlineStr">
        <is>
          <t>Versus 5 trading days ago</t>
        </is>
      </c>
    </row>
    <row r="10">
      <c r="A10" s="4" t="inlineStr">
        <is>
          <t>1 month change (%)</t>
        </is>
      </c>
      <c r="B10" s="10">
        <f>IFERROR(B6/INDEX('Daily log'!F:F,$B$4+1-21)-1,"")</f>
        <v/>
      </c>
      <c r="C10" s="6" t="inlineStr">
        <is>
          <t>Versus 21 trading days ago</t>
        </is>
      </c>
    </row>
    <row r="11">
      <c r="A11" s="4" t="inlineStr">
        <is>
          <t>3 month change (%)</t>
        </is>
      </c>
      <c r="B11" s="10">
        <f>IFERROR(B6/INDEX('Daily log'!F:F,$B$4+1-63)-1,"")</f>
        <v/>
      </c>
      <c r="C11" s="6" t="inlineStr">
        <is>
          <t>Versus 63 trading days ago</t>
        </is>
      </c>
    </row>
    <row r="12">
      <c r="A12" s="4" t="inlineStr">
        <is>
          <t>Year to date (%)</t>
        </is>
      </c>
      <c r="B12" s="10">
        <f>IFERROR(B6/INDEX('Daily log'!$F$2:$F$100000,MATCH(DATE(YEAR(B5),1,1)-1,'Daily log'!$A$2:$A$100000,1))-1,"")</f>
        <v/>
      </c>
      <c r="C12" s="6" t="inlineStr">
        <is>
          <t>Versus the last close of the previous year</t>
        </is>
      </c>
    </row>
    <row r="13">
      <c r="A13" s="4" t="inlineStr">
        <is>
          <t>52 week high ($)</t>
        </is>
      </c>
      <c r="B13" s="8">
        <f>_xlfn.MAXIFS('Daily log'!D:D,'Daily log'!A:A,"&gt;="&amp;(B5-365))</f>
        <v/>
      </c>
      <c r="C13" s="6" t="inlineStr"/>
    </row>
    <row r="14">
      <c r="A14" s="4" t="inlineStr">
        <is>
          <t>52 week low ($)</t>
        </is>
      </c>
      <c r="B14" s="8">
        <f>_xlfn.MINIFS('Daily log'!E:E,'Daily log'!A:A,"&gt;="&amp;(B5-365))</f>
        <v/>
      </c>
      <c r="C14" s="6" t="inlineStr"/>
    </row>
    <row r="15">
      <c r="A15" s="4" t="inlineStr">
        <is>
          <t>Below 52 week high (%)</t>
        </is>
      </c>
      <c r="B15" s="10">
        <f>IFERROR(B6/B13-1,"")</f>
        <v/>
      </c>
      <c r="C15" s="6" t="inlineStr"/>
    </row>
    <row r="16">
      <c r="A16" s="4" t="inlineStr">
        <is>
          <t>Average daily range, 20 days ($)</t>
        </is>
      </c>
      <c r="B16" s="8">
        <f>IFERROR(AVERAGE(INDEX('Daily log'!I:I,$B$4+1-19):INDEX('Daily log'!I:I,$B$4+1)),"")</f>
        <v/>
      </c>
      <c r="C16" s="6" t="inlineStr">
        <is>
          <t>High minus low</t>
        </is>
      </c>
    </row>
    <row r="17">
      <c r="A17" s="4" t="inlineStr">
        <is>
          <t>ATR 14 ($)</t>
        </is>
      </c>
      <c r="B17" s="8">
        <f>INDEX('Daily log'!K:K,$B$4+1)</f>
        <v/>
      </c>
      <c r="C17" s="6" t="inlineStr">
        <is>
          <t>Typical daily move</t>
        </is>
      </c>
    </row>
    <row r="18">
      <c r="A18" s="4" t="inlineStr">
        <is>
          <t>RSI 14</t>
        </is>
      </c>
      <c r="B18" s="11">
        <f>INDEX('Daily log'!L:L,$B$4+1)</f>
        <v/>
      </c>
      <c r="C18" s="6" t="inlineStr">
        <is>
          <t>Above 50 = upward momentum</t>
        </is>
      </c>
    </row>
    <row r="19">
      <c r="A19" s="4" t="inlineStr">
        <is>
          <t>Trend vs EMA 200</t>
        </is>
      </c>
      <c r="B19" s="12">
        <f>INDEX('Daily log'!P:P,$B$4+1)</f>
        <v/>
      </c>
      <c r="C19" s="6" t="inlineStr">
        <is>
          <t>Above = long-term uptrend</t>
        </is>
      </c>
    </row>
    <row r="20">
      <c r="A20" s="4" t="inlineStr">
        <is>
          <t>Signals logged</t>
        </is>
      </c>
      <c r="B20" s="5">
        <f>SUM('Daily log'!R:R)</f>
        <v/>
      </c>
      <c r="C20" s="6" t="inlineStr">
        <is>
          <t>LONG and SHORT signals from the engine</t>
        </is>
      </c>
    </row>
    <row r="21">
      <c r="A21" s="4" t="inlineStr">
        <is>
          <t>Net result (R)</t>
        </is>
      </c>
      <c r="B21" s="9">
        <f>SUM('Daily log'!U:U)</f>
        <v/>
      </c>
      <c r="C21" s="6" t="inlineStr">
        <is>
          <t>Closed signals only</t>
        </is>
      </c>
    </row>
  </sheetData>
  <conditionalFormatting sqref="B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B1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B2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8" customWidth="1" min="12" max="12"/>
    <col width="11" customWidth="1" min="13" max="13"/>
    <col width="11" customWidth="1" min="14" max="14"/>
    <col width="11" customWidth="1" min="15" max="15"/>
    <col width="15" customWidth="1" min="16" max="16"/>
    <col width="13" customWidth="1" min="17" max="17"/>
    <col width="8" customWidth="1" min="18" max="18"/>
    <col width="7" customWidth="1" min="19" max="19"/>
    <col width="7" customWidth="1" min="20" max="20"/>
    <col width="8" customWidth="1" min="21" max="21"/>
  </cols>
  <sheetData>
    <row r="1" ht="30" customHeight="1">
      <c r="A1" s="3" t="inlineStr">
        <is>
          <t>Date</t>
        </is>
      </c>
      <c r="B1" s="3" t="inlineStr">
        <is>
          <t>Day</t>
        </is>
      </c>
      <c r="C1" s="3" t="inlineStr">
        <is>
          <t>Open ($)</t>
        </is>
      </c>
      <c r="D1" s="3" t="inlineStr">
        <is>
          <t>High ($)</t>
        </is>
      </c>
      <c r="E1" s="3" t="inlineStr">
        <is>
          <t>Low ($)</t>
        </is>
      </c>
      <c r="F1" s="3" t="inlineStr">
        <is>
          <t>Close ($)</t>
        </is>
      </c>
      <c r="G1" s="3" t="inlineStr">
        <is>
          <t>Change ($)</t>
        </is>
      </c>
      <c r="H1" s="3" t="inlineStr">
        <is>
          <t>Change (%)</t>
        </is>
      </c>
      <c r="I1" s="3" t="inlineStr">
        <is>
          <t>Range ($)</t>
        </is>
      </c>
      <c r="J1" s="3" t="inlineStr">
        <is>
          <t>Direction</t>
        </is>
      </c>
      <c r="K1" s="3" t="inlineStr">
        <is>
          <t>ATR 14 ($)</t>
        </is>
      </c>
      <c r="L1" s="3" t="inlineStr">
        <is>
          <t>RSI 14</t>
        </is>
      </c>
      <c r="M1" s="3" t="inlineStr">
        <is>
          <t>EMA 20 ($)</t>
        </is>
      </c>
      <c r="N1" s="3" t="inlineStr">
        <is>
          <t>EMA 50 ($)</t>
        </is>
      </c>
      <c r="O1" s="3" t="inlineStr">
        <is>
          <t>EMA 200 ($)</t>
        </is>
      </c>
      <c r="P1" s="3" t="inlineStr">
        <is>
          <t>Trend vs EMA 200</t>
        </is>
      </c>
      <c r="Q1" s="3" t="inlineStr">
        <is>
          <t>Volume (COMEX)</t>
        </is>
      </c>
      <c r="R1" s="3" t="inlineStr">
        <is>
          <t>Signals</t>
        </is>
      </c>
      <c r="S1" s="3" t="inlineStr">
        <is>
          <t>Wins</t>
        </is>
      </c>
      <c r="T1" s="3" t="inlineStr">
        <is>
          <t>Losses</t>
        </is>
      </c>
      <c r="U1" s="3" t="inlineStr">
        <is>
          <t>Net R</t>
        </is>
      </c>
    </row>
    <row r="2">
      <c r="A2" s="13" t="n">
        <v>44473</v>
      </c>
      <c r="B2" s="4">
        <f>TEXT(A2,"ddd")</f>
        <v/>
      </c>
      <c r="C2" s="14" t="n">
        <v>1762.6</v>
      </c>
      <c r="D2" s="14" t="n">
        <v>1771.5</v>
      </c>
      <c r="E2" s="14" t="n">
        <v>1747.7</v>
      </c>
      <c r="F2" s="14" t="n">
        <v>1767.6</v>
      </c>
      <c r="G2" s="9" t="n"/>
      <c r="H2" s="10" t="n"/>
      <c r="I2" s="8">
        <f>D2-E2</f>
        <v/>
      </c>
      <c r="J2" s="4">
        <f>IF(F2&gt;C2,"Up",IF(F2&lt;C2,"Down","Flat"))</f>
        <v/>
      </c>
      <c r="K2" s="14" t="n"/>
      <c r="L2" s="15" t="n"/>
      <c r="M2" s="14" t="n"/>
      <c r="N2" s="14" t="n"/>
      <c r="O2" s="14" t="n"/>
      <c r="P2" s="4">
        <f>IF(O2="","",IF(F2&gt;O2,"Above","Below"))</f>
        <v/>
      </c>
      <c r="Q2" s="16" t="n">
        <v>166180</v>
      </c>
      <c r="R2" s="17" t="n">
        <v>0</v>
      </c>
      <c r="S2" s="17" t="n">
        <v>0</v>
      </c>
      <c r="T2" s="17" t="n">
        <v>0</v>
      </c>
      <c r="U2" s="18" t="n">
        <v>0</v>
      </c>
    </row>
    <row r="3">
      <c r="A3" s="13" t="n">
        <v>44474</v>
      </c>
      <c r="B3" s="4">
        <f>TEXT(A3,"ddd")</f>
        <v/>
      </c>
      <c r="C3" s="14" t="n">
        <v>1770.8</v>
      </c>
      <c r="D3" s="14" t="n">
        <v>1771.1</v>
      </c>
      <c r="E3" s="14" t="n">
        <v>1748.6</v>
      </c>
      <c r="F3" s="14" t="n">
        <v>1760.9</v>
      </c>
      <c r="G3" s="9">
        <f>F3-F2</f>
        <v/>
      </c>
      <c r="H3" s="10">
        <f>IF(F2=0,0,G3/F2)</f>
        <v/>
      </c>
      <c r="I3" s="8">
        <f>D3-E3</f>
        <v/>
      </c>
      <c r="J3" s="4">
        <f>IF(F3&gt;C3,"Up",IF(F3&lt;C3,"Down","Flat"))</f>
        <v/>
      </c>
      <c r="K3" s="14" t="n"/>
      <c r="L3" s="15" t="n"/>
      <c r="M3" s="14" t="n"/>
      <c r="N3" s="14" t="n"/>
      <c r="O3" s="14" t="n"/>
      <c r="P3" s="4">
        <f>IF(O3="","",IF(F3&gt;O3,"Above","Below"))</f>
        <v/>
      </c>
      <c r="Q3" s="16" t="n">
        <v>151424</v>
      </c>
      <c r="R3" s="17" t="n">
        <v>0</v>
      </c>
      <c r="S3" s="17" t="n">
        <v>0</v>
      </c>
      <c r="T3" s="17" t="n">
        <v>0</v>
      </c>
      <c r="U3" s="18" t="n">
        <v>0</v>
      </c>
    </row>
    <row r="4">
      <c r="A4" s="13" t="n">
        <v>44475</v>
      </c>
      <c r="B4" s="4">
        <f>TEXT(A4,"ddd")</f>
        <v/>
      </c>
      <c r="C4" s="14" t="n">
        <v>1760.5</v>
      </c>
      <c r="D4" s="14" t="n">
        <v>1765.9</v>
      </c>
      <c r="E4" s="14" t="n">
        <v>1745.4</v>
      </c>
      <c r="F4" s="14" t="n">
        <v>1761.8</v>
      </c>
      <c r="G4" s="9">
        <f>F4-F3</f>
        <v/>
      </c>
      <c r="H4" s="10">
        <f>IF(F3=0,0,G4/F3)</f>
        <v/>
      </c>
      <c r="I4" s="8">
        <f>D4-E4</f>
        <v/>
      </c>
      <c r="J4" s="4">
        <f>IF(F4&gt;C4,"Up",IF(F4&lt;C4,"Down","Flat"))</f>
        <v/>
      </c>
      <c r="K4" s="14" t="n"/>
      <c r="L4" s="15" t="n"/>
      <c r="M4" s="14" t="n"/>
      <c r="N4" s="14" t="n"/>
      <c r="O4" s="14" t="n"/>
      <c r="P4" s="4">
        <f>IF(O4="","",IF(F4&gt;O4,"Above","Below"))</f>
        <v/>
      </c>
      <c r="Q4" s="16" t="n">
        <v>159218</v>
      </c>
      <c r="R4" s="17" t="n">
        <v>0</v>
      </c>
      <c r="S4" s="17" t="n">
        <v>0</v>
      </c>
      <c r="T4" s="17" t="n">
        <v>0</v>
      </c>
      <c r="U4" s="18" t="n">
        <v>0</v>
      </c>
    </row>
    <row r="5">
      <c r="A5" s="13" t="n">
        <v>44476</v>
      </c>
      <c r="B5" s="4">
        <f>TEXT(A5,"ddd")</f>
        <v/>
      </c>
      <c r="C5" s="14" t="n">
        <v>1763.8</v>
      </c>
      <c r="D5" s="14" t="n">
        <v>1767.7</v>
      </c>
      <c r="E5" s="14" t="n">
        <v>1752</v>
      </c>
      <c r="F5" s="14" t="n">
        <v>1759.2</v>
      </c>
      <c r="G5" s="9">
        <f>F5-F4</f>
        <v/>
      </c>
      <c r="H5" s="10">
        <f>IF(F4=0,0,G5/F4)</f>
        <v/>
      </c>
      <c r="I5" s="8">
        <f>D5-E5</f>
        <v/>
      </c>
      <c r="J5" s="4">
        <f>IF(F5&gt;C5,"Up",IF(F5&lt;C5,"Down","Flat"))</f>
        <v/>
      </c>
      <c r="K5" s="14" t="n"/>
      <c r="L5" s="15" t="n"/>
      <c r="M5" s="14" t="n"/>
      <c r="N5" s="14" t="n"/>
      <c r="O5" s="14" t="n"/>
      <c r="P5" s="4">
        <f>IF(O5="","",IF(F5&gt;O5,"Above","Below"))</f>
        <v/>
      </c>
      <c r="Q5" s="16" t="n">
        <v>146406</v>
      </c>
      <c r="R5" s="17" t="n">
        <v>0</v>
      </c>
      <c r="S5" s="17" t="n">
        <v>0</v>
      </c>
      <c r="T5" s="17" t="n">
        <v>0</v>
      </c>
      <c r="U5" s="18" t="n">
        <v>0</v>
      </c>
    </row>
    <row r="6">
      <c r="A6" s="13" t="n">
        <v>44477</v>
      </c>
      <c r="B6" s="4">
        <f>TEXT(A6,"ddd")</f>
        <v/>
      </c>
      <c r="C6" s="14" t="n">
        <v>1757</v>
      </c>
      <c r="D6" s="14" t="n">
        <v>1782.4</v>
      </c>
      <c r="E6" s="14" t="n">
        <v>1753.6</v>
      </c>
      <c r="F6" s="14" t="n">
        <v>1757.4</v>
      </c>
      <c r="G6" s="9">
        <f>F6-F5</f>
        <v/>
      </c>
      <c r="H6" s="10">
        <f>IF(F5=0,0,G6/F5)</f>
        <v/>
      </c>
      <c r="I6" s="8">
        <f>D6-E6</f>
        <v/>
      </c>
      <c r="J6" s="4">
        <f>IF(F6&gt;C6,"Up",IF(F6&lt;C6,"Down","Flat"))</f>
        <v/>
      </c>
      <c r="K6" s="14" t="n"/>
      <c r="L6" s="15" t="n"/>
      <c r="M6" s="14" t="n"/>
      <c r="N6" s="14" t="n"/>
      <c r="O6" s="14" t="n"/>
      <c r="P6" s="4">
        <f>IF(O6="","",IF(F6&gt;O6,"Above","Below"))</f>
        <v/>
      </c>
      <c r="Q6" s="16" t="n">
        <v>240371</v>
      </c>
      <c r="R6" s="17" t="n">
        <v>0</v>
      </c>
      <c r="S6" s="17" t="n">
        <v>0</v>
      </c>
      <c r="T6" s="17" t="n">
        <v>0</v>
      </c>
      <c r="U6" s="18" t="n">
        <v>0</v>
      </c>
    </row>
    <row r="7">
      <c r="A7" s="13" t="n">
        <v>44480</v>
      </c>
      <c r="B7" s="4">
        <f>TEXT(A7,"ddd")</f>
        <v/>
      </c>
      <c r="C7" s="14" t="n">
        <v>1757.4</v>
      </c>
      <c r="D7" s="14" t="n">
        <v>1761.1</v>
      </c>
      <c r="E7" s="14" t="n">
        <v>1749.9</v>
      </c>
      <c r="F7" s="14" t="n">
        <v>1755.7</v>
      </c>
      <c r="G7" s="9">
        <f>F7-F6</f>
        <v/>
      </c>
      <c r="H7" s="10">
        <f>IF(F6=0,0,G7/F6)</f>
        <v/>
      </c>
      <c r="I7" s="8">
        <f>D7-E7</f>
        <v/>
      </c>
      <c r="J7" s="4">
        <f>IF(F7&gt;C7,"Up",IF(F7&lt;C7,"Down","Flat"))</f>
        <v/>
      </c>
      <c r="K7" s="14" t="n"/>
      <c r="L7" s="15" t="n"/>
      <c r="M7" s="14" t="n"/>
      <c r="N7" s="14" t="n"/>
      <c r="O7" s="14" t="n"/>
      <c r="P7" s="4">
        <f>IF(O7="","",IF(F7&gt;O7,"Above","Below"))</f>
        <v/>
      </c>
      <c r="Q7" s="16" t="n">
        <v>114771</v>
      </c>
      <c r="R7" s="17" t="n">
        <v>0</v>
      </c>
      <c r="S7" s="17" t="n">
        <v>0</v>
      </c>
      <c r="T7" s="17" t="n">
        <v>0</v>
      </c>
      <c r="U7" s="18" t="n">
        <v>0</v>
      </c>
    </row>
    <row r="8">
      <c r="A8" s="13" t="n">
        <v>44481</v>
      </c>
      <c r="B8" s="4">
        <f>TEXT(A8,"ddd")</f>
        <v/>
      </c>
      <c r="C8" s="14" t="n">
        <v>1753.6</v>
      </c>
      <c r="D8" s="14" t="n">
        <v>1770</v>
      </c>
      <c r="E8" s="14" t="n">
        <v>1750.5</v>
      </c>
      <c r="F8" s="14" t="n">
        <v>1759.3</v>
      </c>
      <c r="G8" s="9">
        <f>F8-F7</f>
        <v/>
      </c>
      <c r="H8" s="10">
        <f>IF(F7=0,0,G8/F7)</f>
        <v/>
      </c>
      <c r="I8" s="8">
        <f>D8-E8</f>
        <v/>
      </c>
      <c r="J8" s="4">
        <f>IF(F8&gt;C8,"Up",IF(F8&lt;C8,"Down","Flat"))</f>
        <v/>
      </c>
      <c r="K8" s="14" t="n"/>
      <c r="L8" s="15" t="n"/>
      <c r="M8" s="14" t="n"/>
      <c r="N8" s="14" t="n"/>
      <c r="O8" s="14" t="n"/>
      <c r="P8" s="4">
        <f>IF(O8="","",IF(F8&gt;O8,"Above","Below"))</f>
        <v/>
      </c>
      <c r="Q8" s="16" t="n">
        <v>168110</v>
      </c>
      <c r="R8" s="17" t="n">
        <v>0</v>
      </c>
      <c r="S8" s="17" t="n">
        <v>0</v>
      </c>
      <c r="T8" s="17" t="n">
        <v>0</v>
      </c>
      <c r="U8" s="18" t="n">
        <v>0</v>
      </c>
    </row>
    <row r="9">
      <c r="A9" s="13" t="n">
        <v>44482</v>
      </c>
      <c r="B9" s="4">
        <f>TEXT(A9,"ddd")</f>
        <v/>
      </c>
      <c r="C9" s="14" t="n">
        <v>1760.4</v>
      </c>
      <c r="D9" s="14" t="n">
        <v>1797.4</v>
      </c>
      <c r="E9" s="14" t="n">
        <v>1757.9</v>
      </c>
      <c r="F9" s="14" t="n">
        <v>1794.7</v>
      </c>
      <c r="G9" s="9">
        <f>F9-F8</f>
        <v/>
      </c>
      <c r="H9" s="10">
        <f>IF(F8=0,0,G9/F8)</f>
        <v/>
      </c>
      <c r="I9" s="8">
        <f>D9-E9</f>
        <v/>
      </c>
      <c r="J9" s="4">
        <f>IF(F9&gt;C9,"Up",IF(F9&lt;C9,"Down","Flat"))</f>
        <v/>
      </c>
      <c r="K9" s="14" t="n"/>
      <c r="L9" s="15" t="n"/>
      <c r="M9" s="14" t="n"/>
      <c r="N9" s="14" t="n"/>
      <c r="O9" s="14" t="n"/>
      <c r="P9" s="4">
        <f>IF(O9="","",IF(F9&gt;O9,"Above","Below"))</f>
        <v/>
      </c>
      <c r="Q9" s="16" t="n">
        <v>299041</v>
      </c>
      <c r="R9" s="17" t="n">
        <v>0</v>
      </c>
      <c r="S9" s="17" t="n">
        <v>0</v>
      </c>
      <c r="T9" s="17" t="n">
        <v>0</v>
      </c>
      <c r="U9" s="18" t="n">
        <v>0</v>
      </c>
    </row>
    <row r="10">
      <c r="A10" s="13" t="n">
        <v>44483</v>
      </c>
      <c r="B10" s="4">
        <f>TEXT(A10,"ddd")</f>
        <v/>
      </c>
      <c r="C10" s="14" t="n">
        <v>1793.6</v>
      </c>
      <c r="D10" s="14" t="n">
        <v>1801.9</v>
      </c>
      <c r="E10" s="14" t="n">
        <v>1787.6</v>
      </c>
      <c r="F10" s="14" t="n">
        <v>1797.9</v>
      </c>
      <c r="G10" s="9">
        <f>F10-F9</f>
        <v/>
      </c>
      <c r="H10" s="10">
        <f>IF(F9=0,0,G10/F9)</f>
        <v/>
      </c>
      <c r="I10" s="8">
        <f>D10-E10</f>
        <v/>
      </c>
      <c r="J10" s="4">
        <f>IF(F10&gt;C10,"Up",IF(F10&lt;C10,"Down","Flat"))</f>
        <v/>
      </c>
      <c r="K10" s="14" t="n"/>
      <c r="L10" s="15" t="n"/>
      <c r="M10" s="14" t="n"/>
      <c r="N10" s="14" t="n"/>
      <c r="O10" s="14" t="n"/>
      <c r="P10" s="4">
        <f>IF(O10="","",IF(F10&gt;O10,"Above","Below"))</f>
        <v/>
      </c>
      <c r="Q10" s="16" t="n">
        <v>164651</v>
      </c>
      <c r="R10" s="17" t="n">
        <v>0</v>
      </c>
      <c r="S10" s="17" t="n">
        <v>0</v>
      </c>
      <c r="T10" s="17" t="n">
        <v>0</v>
      </c>
      <c r="U10" s="18" t="n">
        <v>0</v>
      </c>
    </row>
    <row r="11">
      <c r="A11" s="13" t="n">
        <v>44484</v>
      </c>
      <c r="B11" s="4">
        <f>TEXT(A11,"ddd")</f>
        <v/>
      </c>
      <c r="C11" s="14" t="n">
        <v>1797.3</v>
      </c>
      <c r="D11" s="14" t="n">
        <v>1797.7</v>
      </c>
      <c r="E11" s="14" t="n">
        <v>1765.1</v>
      </c>
      <c r="F11" s="14" t="n">
        <v>1768.3</v>
      </c>
      <c r="G11" s="9">
        <f>F11-F10</f>
        <v/>
      </c>
      <c r="H11" s="10">
        <f>IF(F10=0,0,G11/F10)</f>
        <v/>
      </c>
      <c r="I11" s="8">
        <f>D11-E11</f>
        <v/>
      </c>
      <c r="J11" s="4">
        <f>IF(F11&gt;C11,"Up",IF(F11&lt;C11,"Down","Flat"))</f>
        <v/>
      </c>
      <c r="K11" s="14" t="n"/>
      <c r="L11" s="15" t="n"/>
      <c r="M11" s="14" t="n"/>
      <c r="N11" s="14" t="n"/>
      <c r="O11" s="14" t="n"/>
      <c r="P11" s="4">
        <f>IF(O11="","",IF(F11&gt;O11,"Above","Below"))</f>
        <v/>
      </c>
      <c r="Q11" s="16" t="n">
        <v>202631</v>
      </c>
      <c r="R11" s="17" t="n">
        <v>0</v>
      </c>
      <c r="S11" s="17" t="n">
        <v>0</v>
      </c>
      <c r="T11" s="17" t="n">
        <v>0</v>
      </c>
      <c r="U11" s="18" t="n">
        <v>0</v>
      </c>
    </row>
    <row r="12">
      <c r="A12" s="13" t="n">
        <v>44487</v>
      </c>
      <c r="B12" s="4">
        <f>TEXT(A12,"ddd")</f>
        <v/>
      </c>
      <c r="C12" s="14" t="n">
        <v>1767.5</v>
      </c>
      <c r="D12" s="14" t="n">
        <v>1772.5</v>
      </c>
      <c r="E12" s="14" t="n">
        <v>1760.3</v>
      </c>
      <c r="F12" s="14" t="n">
        <v>1765.7</v>
      </c>
      <c r="G12" s="9">
        <f>F12-F11</f>
        <v/>
      </c>
      <c r="H12" s="10">
        <f>IF(F11=0,0,G12/F11)</f>
        <v/>
      </c>
      <c r="I12" s="8">
        <f>D12-E12</f>
        <v/>
      </c>
      <c r="J12" s="4">
        <f>IF(F12&gt;C12,"Up",IF(F12&lt;C12,"Down","Flat"))</f>
        <v/>
      </c>
      <c r="K12" s="14" t="n"/>
      <c r="L12" s="15" t="n"/>
      <c r="M12" s="14" t="n"/>
      <c r="N12" s="14" t="n"/>
      <c r="O12" s="14" t="n"/>
      <c r="P12" s="4">
        <f>IF(O12="","",IF(F12&gt;O12,"Above","Below"))</f>
        <v/>
      </c>
      <c r="Q12" s="16" t="n">
        <v>152741</v>
      </c>
      <c r="R12" s="17" t="n">
        <v>0</v>
      </c>
      <c r="S12" s="17" t="n">
        <v>0</v>
      </c>
      <c r="T12" s="17" t="n">
        <v>0</v>
      </c>
      <c r="U12" s="18" t="n">
        <v>0</v>
      </c>
    </row>
    <row r="13">
      <c r="A13" s="13" t="n">
        <v>44488</v>
      </c>
      <c r="B13" s="4">
        <f>TEXT(A13,"ddd")</f>
        <v/>
      </c>
      <c r="C13" s="14" t="n">
        <v>1764.8</v>
      </c>
      <c r="D13" s="14" t="n">
        <v>1786</v>
      </c>
      <c r="E13" s="14" t="n">
        <v>1763.4</v>
      </c>
      <c r="F13" s="14" t="n">
        <v>1770.5</v>
      </c>
      <c r="G13" s="9">
        <f>F13-F12</f>
        <v/>
      </c>
      <c r="H13" s="10">
        <f>IF(F12=0,0,G13/F12)</f>
        <v/>
      </c>
      <c r="I13" s="8">
        <f>D13-E13</f>
        <v/>
      </c>
      <c r="J13" s="4">
        <f>IF(F13&gt;C13,"Up",IF(F13&lt;C13,"Down","Flat"))</f>
        <v/>
      </c>
      <c r="K13" s="14" t="n"/>
      <c r="L13" s="15" t="n"/>
      <c r="M13" s="14" t="n"/>
      <c r="N13" s="14" t="n"/>
      <c r="O13" s="14" t="n"/>
      <c r="P13" s="4">
        <f>IF(O13="","",IF(F13&gt;O13,"Above","Below"))</f>
        <v/>
      </c>
      <c r="Q13" s="16" t="n">
        <v>166972</v>
      </c>
      <c r="R13" s="17" t="n">
        <v>0</v>
      </c>
      <c r="S13" s="17" t="n">
        <v>0</v>
      </c>
      <c r="T13" s="17" t="n">
        <v>0</v>
      </c>
      <c r="U13" s="18" t="n">
        <v>0</v>
      </c>
    </row>
    <row r="14">
      <c r="A14" s="13" t="n">
        <v>44489</v>
      </c>
      <c r="B14" s="4">
        <f>TEXT(A14,"ddd")</f>
        <v/>
      </c>
      <c r="C14" s="14" t="n">
        <v>1769.4</v>
      </c>
      <c r="D14" s="14" t="n">
        <v>1789.6</v>
      </c>
      <c r="E14" s="14" t="n">
        <v>1767.1</v>
      </c>
      <c r="F14" s="14" t="n">
        <v>1784.9</v>
      </c>
      <c r="G14" s="9">
        <f>F14-F13</f>
        <v/>
      </c>
      <c r="H14" s="10">
        <f>IF(F13=0,0,G14/F13)</f>
        <v/>
      </c>
      <c r="I14" s="8">
        <f>D14-E14</f>
        <v/>
      </c>
      <c r="J14" s="4">
        <f>IF(F14&gt;C14,"Up",IF(F14&lt;C14,"Down","Flat"))</f>
        <v/>
      </c>
      <c r="K14" s="14" t="n"/>
      <c r="L14" s="15" t="n"/>
      <c r="M14" s="14" t="n"/>
      <c r="N14" s="14" t="n"/>
      <c r="O14" s="14" t="n"/>
      <c r="P14" s="4">
        <f>IF(O14="","",IF(F14&gt;O14,"Above","Below"))</f>
        <v/>
      </c>
      <c r="Q14" s="16" t="n">
        <v>174076</v>
      </c>
      <c r="R14" s="17" t="n">
        <v>0</v>
      </c>
      <c r="S14" s="17" t="n">
        <v>0</v>
      </c>
      <c r="T14" s="17" t="n">
        <v>0</v>
      </c>
      <c r="U14" s="18" t="n">
        <v>0</v>
      </c>
    </row>
    <row r="15">
      <c r="A15" s="13" t="n">
        <v>44490</v>
      </c>
      <c r="B15" s="4">
        <f>TEXT(A15,"ddd")</f>
        <v/>
      </c>
      <c r="C15" s="14" t="n">
        <v>1782.5</v>
      </c>
      <c r="D15" s="14" t="n">
        <v>1790.3</v>
      </c>
      <c r="E15" s="14" t="n">
        <v>1776.8</v>
      </c>
      <c r="F15" s="14" t="n">
        <v>1781.9</v>
      </c>
      <c r="G15" s="9">
        <f>F15-F14</f>
        <v/>
      </c>
      <c r="H15" s="10">
        <f>IF(F14=0,0,G15/F14)</f>
        <v/>
      </c>
      <c r="I15" s="8">
        <f>D15-E15</f>
        <v/>
      </c>
      <c r="J15" s="4">
        <f>IF(F15&gt;C15,"Up",IF(F15&lt;C15,"Down","Flat"))</f>
        <v/>
      </c>
      <c r="K15" s="14" t="n"/>
      <c r="L15" s="15" t="n"/>
      <c r="M15" s="14" t="n"/>
      <c r="N15" s="14" t="n"/>
      <c r="O15" s="14" t="n"/>
      <c r="P15" s="4">
        <f>IF(O15="","",IF(F15&gt;O15,"Above","Below"))</f>
        <v/>
      </c>
      <c r="Q15" s="16" t="n">
        <v>138729</v>
      </c>
      <c r="R15" s="17" t="n">
        <v>0</v>
      </c>
      <c r="S15" s="17" t="n">
        <v>0</v>
      </c>
      <c r="T15" s="17" t="n">
        <v>0</v>
      </c>
      <c r="U15" s="18" t="n">
        <v>0</v>
      </c>
    </row>
    <row r="16">
      <c r="A16" s="13" t="n">
        <v>44491</v>
      </c>
      <c r="B16" s="4">
        <f>TEXT(A16,"ddd")</f>
        <v/>
      </c>
      <c r="C16" s="14" t="n">
        <v>1783.7</v>
      </c>
      <c r="D16" s="14" t="n">
        <v>1815.5</v>
      </c>
      <c r="E16" s="14" t="n">
        <v>1783.4</v>
      </c>
      <c r="F16" s="14" t="n">
        <v>1796.3</v>
      </c>
      <c r="G16" s="9">
        <f>F16-F15</f>
        <v/>
      </c>
      <c r="H16" s="10">
        <f>IF(F15=0,0,G16/F15)</f>
        <v/>
      </c>
      <c r="I16" s="8">
        <f>D16-E16</f>
        <v/>
      </c>
      <c r="J16" s="4">
        <f>IF(F16&gt;C16,"Up",IF(F16&lt;C16,"Down","Flat"))</f>
        <v/>
      </c>
      <c r="K16" s="14" t="n">
        <v>22.88</v>
      </c>
      <c r="L16" s="15" t="n">
        <v>46.8</v>
      </c>
      <c r="M16" s="14" t="n"/>
      <c r="N16" s="14" t="n"/>
      <c r="O16" s="14" t="n"/>
      <c r="P16" s="4">
        <f>IF(O16="","",IF(F16&gt;O16,"Above","Below"))</f>
        <v/>
      </c>
      <c r="Q16" s="16" t="n">
        <v>312812</v>
      </c>
      <c r="R16" s="17" t="n">
        <v>0</v>
      </c>
      <c r="S16" s="17" t="n">
        <v>0</v>
      </c>
      <c r="T16" s="17" t="n">
        <v>0</v>
      </c>
      <c r="U16" s="18" t="n">
        <v>0</v>
      </c>
    </row>
    <row r="17">
      <c r="A17" s="13" t="n">
        <v>44494</v>
      </c>
      <c r="B17" s="4">
        <f>TEXT(A17,"ddd")</f>
        <v/>
      </c>
      <c r="C17" s="14" t="n">
        <v>1794.2</v>
      </c>
      <c r="D17" s="14" t="n">
        <v>1811.5</v>
      </c>
      <c r="E17" s="14" t="n">
        <v>1793</v>
      </c>
      <c r="F17" s="14" t="n">
        <v>1806.8</v>
      </c>
      <c r="G17" s="9">
        <f>F17-F16</f>
        <v/>
      </c>
      <c r="H17" s="10">
        <f>IF(F16=0,0,G17/F16)</f>
        <v/>
      </c>
      <c r="I17" s="8">
        <f>D17-E17</f>
        <v/>
      </c>
      <c r="J17" s="4">
        <f>IF(F17&gt;C17,"Up",IF(F17&lt;C17,"Down","Flat"))</f>
        <v/>
      </c>
      <c r="K17" s="14" t="n">
        <v>22.57</v>
      </c>
      <c r="L17" s="15" t="n">
        <v>51.38</v>
      </c>
      <c r="M17" s="14" t="n"/>
      <c r="N17" s="14" t="n"/>
      <c r="O17" s="14" t="n"/>
      <c r="P17" s="4">
        <f>IF(O17="","",IF(F17&gt;O17,"Above","Below"))</f>
        <v/>
      </c>
      <c r="Q17" s="16" t="n">
        <v>153589</v>
      </c>
      <c r="R17" s="17" t="n">
        <v>0</v>
      </c>
      <c r="S17" s="17" t="n">
        <v>0</v>
      </c>
      <c r="T17" s="17" t="n">
        <v>0</v>
      </c>
      <c r="U17" s="18" t="n">
        <v>0</v>
      </c>
    </row>
    <row r="18">
      <c r="A18" s="13" t="n">
        <v>44495</v>
      </c>
      <c r="B18" s="4">
        <f>TEXT(A18,"ddd")</f>
        <v/>
      </c>
      <c r="C18" s="14" t="n">
        <v>1808.7</v>
      </c>
      <c r="D18" s="14" t="n">
        <v>1809.8</v>
      </c>
      <c r="E18" s="14" t="n">
        <v>1783</v>
      </c>
      <c r="F18" s="14" t="n">
        <v>1793.4</v>
      </c>
      <c r="G18" s="9">
        <f>F18-F17</f>
        <v/>
      </c>
      <c r="H18" s="10">
        <f>IF(F17=0,0,G18/F17)</f>
        <v/>
      </c>
      <c r="I18" s="8">
        <f>D18-E18</f>
        <v/>
      </c>
      <c r="J18" s="4">
        <f>IF(F18&gt;C18,"Up",IF(F18&lt;C18,"Down","Flat"))</f>
        <v/>
      </c>
      <c r="K18" s="14" t="n">
        <v>22.87</v>
      </c>
      <c r="L18" s="15" t="n">
        <v>45.94</v>
      </c>
      <c r="M18" s="14" t="n"/>
      <c r="N18" s="14" t="n"/>
      <c r="O18" s="14" t="n"/>
      <c r="P18" s="4">
        <f>IF(O18="","",IF(F18&gt;O18,"Above","Below"))</f>
        <v/>
      </c>
      <c r="Q18" s="16" t="n">
        <v>197929</v>
      </c>
      <c r="R18" s="17" t="n">
        <v>0</v>
      </c>
      <c r="S18" s="17" t="n">
        <v>0</v>
      </c>
      <c r="T18" s="17" t="n">
        <v>0</v>
      </c>
      <c r="U18" s="18" t="n">
        <v>0</v>
      </c>
    </row>
    <row r="19">
      <c r="A19" s="13" t="n">
        <v>44496</v>
      </c>
      <c r="B19" s="4">
        <f>TEXT(A19,"ddd")</f>
        <v/>
      </c>
      <c r="C19" s="14" t="n">
        <v>1795</v>
      </c>
      <c r="D19" s="14" t="n">
        <v>1801</v>
      </c>
      <c r="E19" s="14" t="n">
        <v>1784.3</v>
      </c>
      <c r="F19" s="14" t="n">
        <v>1798.8</v>
      </c>
      <c r="G19" s="9">
        <f>F19-F18</f>
        <v/>
      </c>
      <c r="H19" s="10">
        <f>IF(F18=0,0,G19/F18)</f>
        <v/>
      </c>
      <c r="I19" s="8">
        <f>D19-E19</f>
        <v/>
      </c>
      <c r="J19" s="4">
        <f>IF(F19&gt;C19,"Up",IF(F19&lt;C19,"Down","Flat"))</f>
        <v/>
      </c>
      <c r="K19" s="14" t="n">
        <v>22.43</v>
      </c>
      <c r="L19" s="15" t="n">
        <v>48.32</v>
      </c>
      <c r="M19" s="14" t="n"/>
      <c r="N19" s="14" t="n"/>
      <c r="O19" s="14" t="n"/>
      <c r="P19" s="4">
        <f>IF(O19="","",IF(F19&gt;O19,"Above","Below"))</f>
        <v/>
      </c>
      <c r="Q19" s="16" t="n">
        <v>182801</v>
      </c>
      <c r="R19" s="17" t="n">
        <v>0</v>
      </c>
      <c r="S19" s="17" t="n">
        <v>0</v>
      </c>
      <c r="T19" s="17" t="n">
        <v>0</v>
      </c>
      <c r="U19" s="18" t="n">
        <v>0</v>
      </c>
    </row>
    <row r="20">
      <c r="A20" s="13" t="n">
        <v>44497</v>
      </c>
      <c r="B20" s="4">
        <f>TEXT(A20,"ddd")</f>
        <v/>
      </c>
      <c r="C20" s="14" t="n">
        <v>1798.7</v>
      </c>
      <c r="D20" s="14" t="n">
        <v>1812.7</v>
      </c>
      <c r="E20" s="14" t="n">
        <v>1793.1</v>
      </c>
      <c r="F20" s="14" t="n">
        <v>1802.6</v>
      </c>
      <c r="G20" s="9">
        <f>F20-F19</f>
        <v/>
      </c>
      <c r="H20" s="10">
        <f>IF(F19=0,0,G20/F19)</f>
        <v/>
      </c>
      <c r="I20" s="8">
        <f>D20-E20</f>
        <v/>
      </c>
      <c r="J20" s="4">
        <f>IF(F20&gt;C20,"Up",IF(F20&lt;C20,"Down","Flat"))</f>
        <v/>
      </c>
      <c r="K20" s="14" t="n">
        <v>22.23</v>
      </c>
      <c r="L20" s="15" t="n">
        <v>49.98</v>
      </c>
      <c r="M20" s="14" t="n"/>
      <c r="N20" s="14" t="n"/>
      <c r="O20" s="14" t="n"/>
      <c r="P20" s="4">
        <f>IF(O20="","",IF(F20&gt;O20,"Above","Below"))</f>
        <v/>
      </c>
      <c r="Q20" s="16" t="n">
        <v>220876</v>
      </c>
      <c r="R20" s="17" t="n">
        <v>0</v>
      </c>
      <c r="S20" s="17" t="n">
        <v>0</v>
      </c>
      <c r="T20" s="17" t="n">
        <v>0</v>
      </c>
      <c r="U20" s="18" t="n">
        <v>0</v>
      </c>
    </row>
    <row r="21">
      <c r="A21" s="13" t="n">
        <v>44498</v>
      </c>
      <c r="B21" s="4">
        <f>TEXT(A21,"ddd")</f>
        <v/>
      </c>
      <c r="C21" s="14" t="n">
        <v>1801.5</v>
      </c>
      <c r="D21" s="14" t="n">
        <v>1802.9</v>
      </c>
      <c r="E21" s="14" t="n">
        <v>1772.4</v>
      </c>
      <c r="F21" s="14" t="n">
        <v>1783.9</v>
      </c>
      <c r="G21" s="9">
        <f>F21-F20</f>
        <v/>
      </c>
      <c r="H21" s="10">
        <f>IF(F20=0,0,G21/F20)</f>
        <v/>
      </c>
      <c r="I21" s="8">
        <f>D21-E21</f>
        <v/>
      </c>
      <c r="J21" s="4">
        <f>IF(F21&gt;C21,"Up",IF(F21&lt;C21,"Down","Flat"))</f>
        <v/>
      </c>
      <c r="K21" s="14" t="n">
        <v>22.82</v>
      </c>
      <c r="L21" s="15" t="n">
        <v>42.69</v>
      </c>
      <c r="M21" s="14" t="n">
        <v>1782.88</v>
      </c>
      <c r="N21" s="14" t="n"/>
      <c r="O21" s="14" t="n"/>
      <c r="P21" s="4">
        <f>IF(O21="","",IF(F21&gt;O21,"Above","Below"))</f>
        <v/>
      </c>
      <c r="Q21" s="16" t="n">
        <v>254513</v>
      </c>
      <c r="R21" s="17" t="n">
        <v>0</v>
      </c>
      <c r="S21" s="17" t="n">
        <v>0</v>
      </c>
      <c r="T21" s="17" t="n">
        <v>0</v>
      </c>
      <c r="U21" s="18" t="n">
        <v>0</v>
      </c>
    </row>
    <row r="22">
      <c r="A22" s="13" t="n">
        <v>44501</v>
      </c>
      <c r="B22" s="4">
        <f>TEXT(A22,"ddd")</f>
        <v/>
      </c>
      <c r="C22" s="14" t="n">
        <v>1785.3</v>
      </c>
      <c r="D22" s="14" t="n">
        <v>1797.5</v>
      </c>
      <c r="E22" s="14" t="n">
        <v>1780.2</v>
      </c>
      <c r="F22" s="14" t="n">
        <v>1795.8</v>
      </c>
      <c r="G22" s="9">
        <f>F22-F21</f>
        <v/>
      </c>
      <c r="H22" s="10">
        <f>IF(F21=0,0,G22/F21)</f>
        <v/>
      </c>
      <c r="I22" s="8">
        <f>D22-E22</f>
        <v/>
      </c>
      <c r="J22" s="4">
        <f>IF(F22&gt;C22,"Up",IF(F22&lt;C22,"Down","Flat"))</f>
        <v/>
      </c>
      <c r="K22" s="14" t="n">
        <v>22.42</v>
      </c>
      <c r="L22" s="15" t="n">
        <v>47.9</v>
      </c>
      <c r="M22" s="14" t="n">
        <v>1784.11</v>
      </c>
      <c r="N22" s="14" t="n"/>
      <c r="O22" s="14" t="n"/>
      <c r="P22" s="4">
        <f>IF(O22="","",IF(F22&gt;O22,"Above","Below"))</f>
        <v/>
      </c>
      <c r="Q22" s="16" t="n">
        <v>143332</v>
      </c>
      <c r="R22" s="17" t="n">
        <v>0</v>
      </c>
      <c r="S22" s="17" t="n">
        <v>0</v>
      </c>
      <c r="T22" s="17" t="n">
        <v>0</v>
      </c>
      <c r="U22" s="18" t="n">
        <v>0</v>
      </c>
    </row>
    <row r="23">
      <c r="A23" s="13" t="n">
        <v>44502</v>
      </c>
      <c r="B23" s="4">
        <f>TEXT(A23,"ddd")</f>
        <v/>
      </c>
      <c r="C23" s="14" t="n">
        <v>1794.8</v>
      </c>
      <c r="D23" s="14" t="n">
        <v>1797.8</v>
      </c>
      <c r="E23" s="14" t="n">
        <v>1787.4</v>
      </c>
      <c r="F23" s="14" t="n">
        <v>1789.4</v>
      </c>
      <c r="G23" s="9">
        <f>F23-F22</f>
        <v/>
      </c>
      <c r="H23" s="10">
        <f>IF(F22=0,0,G23/F22)</f>
        <v/>
      </c>
      <c r="I23" s="8">
        <f>D23-E23</f>
        <v/>
      </c>
      <c r="J23" s="4">
        <f>IF(F23&gt;C23,"Up",IF(F23&lt;C23,"Down","Flat"))</f>
        <v/>
      </c>
      <c r="K23" s="14" t="n">
        <v>21.56</v>
      </c>
      <c r="L23" s="15" t="n">
        <v>45.5</v>
      </c>
      <c r="M23" s="14" t="n">
        <v>1784.61</v>
      </c>
      <c r="N23" s="14" t="n"/>
      <c r="O23" s="14" t="n"/>
      <c r="P23" s="4">
        <f>IF(O23="","",IF(F23&gt;O23,"Above","Below"))</f>
        <v/>
      </c>
      <c r="Q23" s="16" t="n">
        <v>145786</v>
      </c>
      <c r="R23" s="17" t="n">
        <v>0</v>
      </c>
      <c r="S23" s="17" t="n">
        <v>0</v>
      </c>
      <c r="T23" s="17" t="n">
        <v>0</v>
      </c>
      <c r="U23" s="18" t="n">
        <v>0</v>
      </c>
    </row>
    <row r="24">
      <c r="A24" s="13" t="n">
        <v>44503</v>
      </c>
      <c r="B24" s="4">
        <f>TEXT(A24,"ddd")</f>
        <v/>
      </c>
      <c r="C24" s="14" t="n">
        <v>1789.2</v>
      </c>
      <c r="D24" s="14" t="n">
        <v>1789.3</v>
      </c>
      <c r="E24" s="14" t="n">
        <v>1758.5</v>
      </c>
      <c r="F24" s="14" t="n">
        <v>1763.9</v>
      </c>
      <c r="G24" s="9">
        <f>F24-F23</f>
        <v/>
      </c>
      <c r="H24" s="10">
        <f>IF(F23=0,0,G24/F23)</f>
        <v/>
      </c>
      <c r="I24" s="8">
        <f>D24-E24</f>
        <v/>
      </c>
      <c r="J24" s="4">
        <f>IF(F24&gt;C24,"Up",IF(F24&lt;C24,"Down","Flat"))</f>
        <v/>
      </c>
      <c r="K24" s="14" t="n">
        <v>22.23</v>
      </c>
      <c r="L24" s="15" t="n">
        <v>37.47</v>
      </c>
      <c r="M24" s="14" t="n">
        <v>1782.64</v>
      </c>
      <c r="N24" s="14" t="n"/>
      <c r="O24" s="14" t="n"/>
      <c r="P24" s="4">
        <f>IF(O24="","",IF(F24&gt;O24,"Above","Below"))</f>
        <v/>
      </c>
      <c r="Q24" s="16" t="n">
        <v>257427</v>
      </c>
      <c r="R24" s="17" t="n">
        <v>0</v>
      </c>
      <c r="S24" s="17" t="n">
        <v>0</v>
      </c>
      <c r="T24" s="17" t="n">
        <v>0</v>
      </c>
      <c r="U24" s="18" t="n">
        <v>0</v>
      </c>
    </row>
    <row r="25">
      <c r="A25" s="13" t="n">
        <v>44504</v>
      </c>
      <c r="B25" s="4">
        <f>TEXT(A25,"ddd")</f>
        <v/>
      </c>
      <c r="C25" s="14" t="n">
        <v>1769.9</v>
      </c>
      <c r="D25" s="14" t="n">
        <v>1800.3</v>
      </c>
      <c r="E25" s="14" t="n">
        <v>1769.3</v>
      </c>
      <c r="F25" s="14" t="n">
        <v>1793.5</v>
      </c>
      <c r="G25" s="9">
        <f>F25-F24</f>
        <v/>
      </c>
      <c r="H25" s="10">
        <f>IF(F24=0,0,G25/F24)</f>
        <v/>
      </c>
      <c r="I25" s="8">
        <f>D25-E25</f>
        <v/>
      </c>
      <c r="J25" s="4">
        <f>IF(F25&gt;C25,"Up",IF(F25&lt;C25,"Down","Flat"))</f>
        <v/>
      </c>
      <c r="K25" s="14" t="n">
        <v>23.24</v>
      </c>
      <c r="L25" s="15" t="n">
        <v>48.78</v>
      </c>
      <c r="M25" s="14" t="n">
        <v>1783.67</v>
      </c>
      <c r="N25" s="14" t="n"/>
      <c r="O25" s="14" t="n"/>
      <c r="P25" s="4">
        <f>IF(O25="","",IF(F25&gt;O25,"Above","Below"))</f>
        <v/>
      </c>
      <c r="Q25" s="16" t="n">
        <v>222609</v>
      </c>
      <c r="R25" s="17" t="n">
        <v>0</v>
      </c>
      <c r="S25" s="17" t="n">
        <v>0</v>
      </c>
      <c r="T25" s="17" t="n">
        <v>0</v>
      </c>
      <c r="U25" s="18" t="n">
        <v>0</v>
      </c>
    </row>
    <row r="26">
      <c r="A26" s="13" t="n">
        <v>44505</v>
      </c>
      <c r="B26" s="4">
        <f>TEXT(A26,"ddd")</f>
        <v/>
      </c>
      <c r="C26" s="14" t="n">
        <v>1792.6</v>
      </c>
      <c r="D26" s="14" t="n">
        <v>1820.1</v>
      </c>
      <c r="E26" s="14" t="n">
        <v>1785.3</v>
      </c>
      <c r="F26" s="14" t="n">
        <v>1816.8</v>
      </c>
      <c r="G26" s="9">
        <f>F26-F25</f>
        <v/>
      </c>
      <c r="H26" s="10">
        <f>IF(F25=0,0,G26/F25)</f>
        <v/>
      </c>
      <c r="I26" s="8">
        <f>D26-E26</f>
        <v/>
      </c>
      <c r="J26" s="4">
        <f>IF(F26&gt;C26,"Up",IF(F26&lt;C26,"Down","Flat"))</f>
        <v/>
      </c>
      <c r="K26" s="14" t="n">
        <v>24.07</v>
      </c>
      <c r="L26" s="15" t="n">
        <v>55.59</v>
      </c>
      <c r="M26" s="14" t="n">
        <v>1786.83</v>
      </c>
      <c r="N26" s="14" t="n"/>
      <c r="O26" s="14" t="n"/>
      <c r="P26" s="4">
        <f>IF(O26="","",IF(F26&gt;O26,"Above","Below"))</f>
        <v/>
      </c>
      <c r="Q26" s="16" t="n">
        <v>299618</v>
      </c>
      <c r="R26" s="17" t="n">
        <v>0</v>
      </c>
      <c r="S26" s="17" t="n">
        <v>0</v>
      </c>
      <c r="T26" s="17" t="n">
        <v>0</v>
      </c>
      <c r="U26" s="18" t="n">
        <v>0</v>
      </c>
    </row>
    <row r="27">
      <c r="A27" s="13" t="n">
        <v>44508</v>
      </c>
      <c r="B27" s="4">
        <f>TEXT(A27,"ddd")</f>
        <v/>
      </c>
      <c r="C27" s="14" t="n">
        <v>1820.6</v>
      </c>
      <c r="D27" s="14" t="n">
        <v>1828.3</v>
      </c>
      <c r="E27" s="14" t="n">
        <v>1813.8</v>
      </c>
      <c r="F27" s="14" t="n">
        <v>1828</v>
      </c>
      <c r="G27" s="9">
        <f>F27-F26</f>
        <v/>
      </c>
      <c r="H27" s="10">
        <f>IF(F26=0,0,G27/F26)</f>
        <v/>
      </c>
      <c r="I27" s="8">
        <f>D27-E27</f>
        <v/>
      </c>
      <c r="J27" s="4">
        <f>IF(F27&gt;C27,"Up",IF(F27&lt;C27,"Down","Flat"))</f>
        <v/>
      </c>
      <c r="K27" s="14" t="n">
        <v>23.38</v>
      </c>
      <c r="L27" s="15" t="n">
        <v>58.45</v>
      </c>
      <c r="M27" s="14" t="n">
        <v>1790.75</v>
      </c>
      <c r="N27" s="14" t="n"/>
      <c r="O27" s="14" t="n"/>
      <c r="P27" s="4">
        <f>IF(O27="","",IF(F27&gt;O27,"Above","Below"))</f>
        <v/>
      </c>
      <c r="Q27" s="16" t="n">
        <v>200412</v>
      </c>
      <c r="R27" s="17" t="n">
        <v>0</v>
      </c>
      <c r="S27" s="17" t="n">
        <v>0</v>
      </c>
      <c r="T27" s="17" t="n">
        <v>0</v>
      </c>
      <c r="U27" s="18" t="n">
        <v>0</v>
      </c>
    </row>
    <row r="28">
      <c r="A28" s="13" t="n">
        <v>44509</v>
      </c>
      <c r="B28" s="4">
        <f>TEXT(A28,"ddd")</f>
        <v/>
      </c>
      <c r="C28" s="14" t="n">
        <v>1826.9</v>
      </c>
      <c r="D28" s="14" t="n">
        <v>1834.8</v>
      </c>
      <c r="E28" s="14" t="n">
        <v>1821</v>
      </c>
      <c r="F28" s="14" t="n">
        <v>1830.8</v>
      </c>
      <c r="G28" s="9">
        <f>F28-F27</f>
        <v/>
      </c>
      <c r="H28" s="10">
        <f>IF(F27=0,0,G28/F27)</f>
        <v/>
      </c>
      <c r="I28" s="8">
        <f>D28-E28</f>
        <v/>
      </c>
      <c r="J28" s="4">
        <f>IF(F28&gt;C28,"Up",IF(F28&lt;C28,"Down","Flat"))</f>
        <v/>
      </c>
      <c r="K28" s="14" t="n">
        <v>22.7</v>
      </c>
      <c r="L28" s="15" t="n">
        <v>59.15</v>
      </c>
      <c r="M28" s="14" t="n">
        <v>1794.56</v>
      </c>
      <c r="N28" s="14" t="n"/>
      <c r="O28" s="14" t="n"/>
      <c r="P28" s="4">
        <f>IF(O28="","",IF(F28&gt;O28,"Above","Below"))</f>
        <v/>
      </c>
      <c r="Q28" s="16" t="n">
        <v>224407</v>
      </c>
      <c r="R28" s="17" t="n">
        <v>0</v>
      </c>
      <c r="S28" s="17" t="n">
        <v>0</v>
      </c>
      <c r="T28" s="17" t="n">
        <v>0</v>
      </c>
      <c r="U28" s="18" t="n">
        <v>0</v>
      </c>
    </row>
    <row r="29">
      <c r="A29" s="13" t="n">
        <v>44510</v>
      </c>
      <c r="B29" s="4">
        <f>TEXT(A29,"ddd")</f>
        <v/>
      </c>
      <c r="C29" s="14" t="n">
        <v>1834.5</v>
      </c>
      <c r="D29" s="14" t="n">
        <v>1870.6</v>
      </c>
      <c r="E29" s="14" t="n">
        <v>1823</v>
      </c>
      <c r="F29" s="14" t="n">
        <v>1848.3</v>
      </c>
      <c r="G29" s="9">
        <f>F29-F28</f>
        <v/>
      </c>
      <c r="H29" s="10">
        <f>IF(F28=0,0,G29/F28)</f>
        <v/>
      </c>
      <c r="I29" s="8">
        <f>D29-E29</f>
        <v/>
      </c>
      <c r="J29" s="4">
        <f>IF(F29&gt;C29,"Up",IF(F29&lt;C29,"Down","Flat"))</f>
        <v/>
      </c>
      <c r="K29" s="14" t="n">
        <v>24.48</v>
      </c>
      <c r="L29" s="15" t="n">
        <v>63.36</v>
      </c>
      <c r="M29" s="14" t="n">
        <v>1799.68</v>
      </c>
      <c r="N29" s="14" t="n"/>
      <c r="O29" s="14" t="n"/>
      <c r="P29" s="4">
        <f>IF(O29="","",IF(F29&gt;O29,"Above","Below"))</f>
        <v/>
      </c>
      <c r="Q29" s="16" t="n">
        <v>352787</v>
      </c>
      <c r="R29" s="17" t="n">
        <v>0</v>
      </c>
      <c r="S29" s="17" t="n">
        <v>0</v>
      </c>
      <c r="T29" s="17" t="n">
        <v>0</v>
      </c>
      <c r="U29" s="18" t="n">
        <v>0</v>
      </c>
    </row>
    <row r="30">
      <c r="A30" s="13" t="n">
        <v>44511</v>
      </c>
      <c r="B30" s="4">
        <f>TEXT(A30,"ddd")</f>
        <v/>
      </c>
      <c r="C30" s="14" t="n">
        <v>1851.5</v>
      </c>
      <c r="D30" s="14" t="n">
        <v>1868.7</v>
      </c>
      <c r="E30" s="14" t="n">
        <v>1845.1</v>
      </c>
      <c r="F30" s="14" t="n">
        <v>1863.9</v>
      </c>
      <c r="G30" s="9">
        <f>F30-F29</f>
        <v/>
      </c>
      <c r="H30" s="10">
        <f>IF(F29=0,0,G30/F29)</f>
        <v/>
      </c>
      <c r="I30" s="8">
        <f>D30-E30</f>
        <v/>
      </c>
      <c r="J30" s="4">
        <f>IF(F30&gt;C30,"Up",IF(F30&lt;C30,"Down","Flat"))</f>
        <v/>
      </c>
      <c r="K30" s="14" t="n">
        <v>24.42</v>
      </c>
      <c r="L30" s="15" t="n">
        <v>66.65000000000001</v>
      </c>
      <c r="M30" s="14" t="n">
        <v>1805.8</v>
      </c>
      <c r="N30" s="14" t="n"/>
      <c r="O30" s="14" t="n"/>
      <c r="P30" s="4">
        <f>IF(O30="","",IF(F30&gt;O30,"Above","Below"))</f>
        <v/>
      </c>
      <c r="Q30" s="16" t="n">
        <v>205312</v>
      </c>
      <c r="R30" s="17" t="n">
        <v>0</v>
      </c>
      <c r="S30" s="17" t="n">
        <v>0</v>
      </c>
      <c r="T30" s="17" t="n">
        <v>0</v>
      </c>
      <c r="U30" s="18" t="n">
        <v>0</v>
      </c>
    </row>
    <row r="31">
      <c r="A31" s="13" t="n">
        <v>44512</v>
      </c>
      <c r="B31" s="4">
        <f>TEXT(A31,"ddd")</f>
        <v/>
      </c>
      <c r="C31" s="14" t="n">
        <v>1864.3</v>
      </c>
      <c r="D31" s="14" t="n">
        <v>1871.4</v>
      </c>
      <c r="E31" s="14" t="n">
        <v>1847.5</v>
      </c>
      <c r="F31" s="14" t="n">
        <v>1868.5</v>
      </c>
      <c r="G31" s="9">
        <f>F31-F30</f>
        <v/>
      </c>
      <c r="H31" s="10">
        <f>IF(F30=0,0,G31/F30)</f>
        <v/>
      </c>
      <c r="I31" s="8">
        <f>D31-E31</f>
        <v/>
      </c>
      <c r="J31" s="4">
        <f>IF(F31&gt;C31,"Up",IF(F31&lt;C31,"Down","Flat"))</f>
        <v/>
      </c>
      <c r="K31" s="14" t="n">
        <v>24.38</v>
      </c>
      <c r="L31" s="15" t="n">
        <v>67.58</v>
      </c>
      <c r="M31" s="14" t="n">
        <v>1811.77</v>
      </c>
      <c r="N31" s="14" t="n"/>
      <c r="O31" s="14" t="n"/>
      <c r="P31" s="4">
        <f>IF(O31="","",IF(F31&gt;O31,"Above","Below"))</f>
        <v/>
      </c>
      <c r="Q31" s="16" t="n">
        <v>201358</v>
      </c>
      <c r="R31" s="17" t="n">
        <v>0</v>
      </c>
      <c r="S31" s="17" t="n">
        <v>0</v>
      </c>
      <c r="T31" s="17" t="n">
        <v>0</v>
      </c>
      <c r="U31" s="18" t="n">
        <v>0</v>
      </c>
    </row>
    <row r="32">
      <c r="A32" s="13" t="n">
        <v>44515</v>
      </c>
      <c r="B32" s="4">
        <f>TEXT(A32,"ddd")</f>
        <v/>
      </c>
      <c r="C32" s="14" t="n">
        <v>1872.6</v>
      </c>
      <c r="D32" s="14" t="n">
        <v>1873</v>
      </c>
      <c r="E32" s="14" t="n">
        <v>1858.5</v>
      </c>
      <c r="F32" s="14" t="n">
        <v>1866.6</v>
      </c>
      <c r="G32" s="9">
        <f>F32-F31</f>
        <v/>
      </c>
      <c r="H32" s="10">
        <f>IF(F31=0,0,G32/F31)</f>
        <v/>
      </c>
      <c r="I32" s="8">
        <f>D32-E32</f>
        <v/>
      </c>
      <c r="J32" s="4">
        <f>IF(F32&gt;C32,"Up",IF(F32&lt;C32,"Down","Flat"))</f>
        <v/>
      </c>
      <c r="K32" s="14" t="n">
        <v>23.67</v>
      </c>
      <c r="L32" s="15" t="n">
        <v>66.75</v>
      </c>
      <c r="M32" s="14" t="n">
        <v>1816.99</v>
      </c>
      <c r="N32" s="14" t="n"/>
      <c r="O32" s="14" t="n"/>
      <c r="P32" s="4">
        <f>IF(O32="","",IF(F32&gt;O32,"Above","Below"))</f>
        <v/>
      </c>
      <c r="Q32" s="16" t="n">
        <v>221208</v>
      </c>
      <c r="R32" s="17" t="n">
        <v>0</v>
      </c>
      <c r="S32" s="17" t="n">
        <v>0</v>
      </c>
      <c r="T32" s="17" t="n">
        <v>0</v>
      </c>
      <c r="U32" s="18" t="n">
        <v>0</v>
      </c>
    </row>
    <row r="33">
      <c r="A33" s="13" t="n">
        <v>44516</v>
      </c>
      <c r="B33" s="4">
        <f>TEXT(A33,"ddd")</f>
        <v/>
      </c>
      <c r="C33" s="14" t="n">
        <v>1864.9</v>
      </c>
      <c r="D33" s="14" t="n">
        <v>1879.5</v>
      </c>
      <c r="E33" s="14" t="n">
        <v>1851</v>
      </c>
      <c r="F33" s="14" t="n">
        <v>1854.1</v>
      </c>
      <c r="G33" s="9">
        <f>F33-F32</f>
        <v/>
      </c>
      <c r="H33" s="10">
        <f>IF(F32=0,0,G33/F32)</f>
        <v/>
      </c>
      <c r="I33" s="8">
        <f>D33-E33</f>
        <v/>
      </c>
      <c r="J33" s="4">
        <f>IF(F33&gt;C33,"Up",IF(F33&lt;C33,"Down","Flat"))</f>
        <v/>
      </c>
      <c r="K33" s="14" t="n">
        <v>24.02</v>
      </c>
      <c r="L33" s="15" t="n">
        <v>61.44</v>
      </c>
      <c r="M33" s="14" t="n">
        <v>1820.53</v>
      </c>
      <c r="N33" s="14" t="n"/>
      <c r="O33" s="14" t="n"/>
      <c r="P33" s="4">
        <f>IF(O33="","",IF(F33&gt;O33,"Above","Below"))</f>
        <v/>
      </c>
      <c r="Q33" s="16" t="n">
        <v>220431</v>
      </c>
      <c r="R33" s="17" t="n">
        <v>0</v>
      </c>
      <c r="S33" s="17" t="n">
        <v>0</v>
      </c>
      <c r="T33" s="17" t="n">
        <v>0</v>
      </c>
      <c r="U33" s="18" t="n">
        <v>0</v>
      </c>
    </row>
    <row r="34">
      <c r="A34" s="13" t="n">
        <v>44517</v>
      </c>
      <c r="B34" s="4">
        <f>TEXT(A34,"ddd")</f>
        <v/>
      </c>
      <c r="C34" s="14" t="n">
        <v>1851.6</v>
      </c>
      <c r="D34" s="14" t="n">
        <v>1870.6</v>
      </c>
      <c r="E34" s="14" t="n">
        <v>1851.1</v>
      </c>
      <c r="F34" s="14" t="n">
        <v>1870.2</v>
      </c>
      <c r="G34" s="9">
        <f>F34-F33</f>
        <v/>
      </c>
      <c r="H34" s="10">
        <f>IF(F33=0,0,G34/F33)</f>
        <v/>
      </c>
      <c r="I34" s="8">
        <f>D34-E34</f>
        <v/>
      </c>
      <c r="J34" s="4">
        <f>IF(F34&gt;C34,"Up",IF(F34&lt;C34,"Down","Flat"))</f>
        <v/>
      </c>
      <c r="K34" s="14" t="n">
        <v>23.7</v>
      </c>
      <c r="L34" s="15" t="n">
        <v>65.27</v>
      </c>
      <c r="M34" s="14" t="n">
        <v>1825.26</v>
      </c>
      <c r="N34" s="14" t="n"/>
      <c r="O34" s="14" t="n"/>
      <c r="P34" s="4">
        <f>IF(O34="","",IF(F34&gt;O34,"Above","Below"))</f>
        <v/>
      </c>
      <c r="Q34" s="16" t="n">
        <v>172417</v>
      </c>
      <c r="R34" s="17" t="n">
        <v>0</v>
      </c>
      <c r="S34" s="17" t="n">
        <v>0</v>
      </c>
      <c r="T34" s="17" t="n">
        <v>0</v>
      </c>
      <c r="U34" s="18" t="n">
        <v>0</v>
      </c>
    </row>
    <row r="35">
      <c r="A35" s="13" t="n">
        <v>44518</v>
      </c>
      <c r="B35" s="4">
        <f>TEXT(A35,"ddd")</f>
        <v/>
      </c>
      <c r="C35" s="14" t="n">
        <v>1869.5</v>
      </c>
      <c r="D35" s="14" t="n">
        <v>1873.3</v>
      </c>
      <c r="E35" s="14" t="n">
        <v>1856.6</v>
      </c>
      <c r="F35" s="14" t="n">
        <v>1861.4</v>
      </c>
      <c r="G35" s="9">
        <f>F35-F34</f>
        <v/>
      </c>
      <c r="H35" s="10">
        <f>IF(F34=0,0,G35/F34)</f>
        <v/>
      </c>
      <c r="I35" s="8">
        <f>D35-E35</f>
        <v/>
      </c>
      <c r="J35" s="4">
        <f>IF(F35&gt;C35,"Up",IF(F35&lt;C35,"Down","Flat"))</f>
        <v/>
      </c>
      <c r="K35" s="14" t="n">
        <v>23.2</v>
      </c>
      <c r="L35" s="15" t="n">
        <v>61.67</v>
      </c>
      <c r="M35" s="14" t="n">
        <v>1828.7</v>
      </c>
      <c r="N35" s="14" t="n"/>
      <c r="O35" s="14" t="n"/>
      <c r="P35" s="4">
        <f>IF(O35="","",IF(F35&gt;O35,"Above","Below"))</f>
        <v/>
      </c>
      <c r="Q35" s="16" t="n">
        <v>186062</v>
      </c>
      <c r="R35" s="17" t="n">
        <v>0</v>
      </c>
      <c r="S35" s="17" t="n">
        <v>0</v>
      </c>
      <c r="T35" s="17" t="n">
        <v>0</v>
      </c>
      <c r="U35" s="18" t="n">
        <v>0</v>
      </c>
    </row>
    <row r="36">
      <c r="A36" s="13" t="n">
        <v>44519</v>
      </c>
      <c r="B36" s="4">
        <f>TEXT(A36,"ddd")</f>
        <v/>
      </c>
      <c r="C36" s="14" t="n">
        <v>1860.8</v>
      </c>
      <c r="D36" s="14" t="n">
        <v>1868.1</v>
      </c>
      <c r="E36" s="14" t="n">
        <v>1844.2</v>
      </c>
      <c r="F36" s="14" t="n">
        <v>1851.6</v>
      </c>
      <c r="G36" s="9">
        <f>F36-F35</f>
        <v/>
      </c>
      <c r="H36" s="10">
        <f>IF(F35=0,0,G36/F35)</f>
        <v/>
      </c>
      <c r="I36" s="8">
        <f>D36-E36</f>
        <v/>
      </c>
      <c r="J36" s="4">
        <f>IF(F36&gt;C36,"Up",IF(F36&lt;C36,"Down","Flat"))</f>
        <v/>
      </c>
      <c r="K36" s="14" t="n">
        <v>23.25</v>
      </c>
      <c r="L36" s="15" t="n">
        <v>57.84</v>
      </c>
      <c r="M36" s="14" t="n">
        <v>1830.88</v>
      </c>
      <c r="N36" s="14" t="n"/>
      <c r="O36" s="14" t="n"/>
      <c r="P36" s="4">
        <f>IF(O36="","",IF(F36&gt;O36,"Above","Below"))</f>
        <v/>
      </c>
      <c r="Q36" s="16" t="n">
        <v>234083</v>
      </c>
      <c r="R36" s="17" t="n">
        <v>0</v>
      </c>
      <c r="S36" s="17" t="n">
        <v>0</v>
      </c>
      <c r="T36" s="17" t="n">
        <v>0</v>
      </c>
      <c r="U36" s="18" t="n">
        <v>0</v>
      </c>
    </row>
    <row r="37">
      <c r="A37" s="13" t="n">
        <v>44522</v>
      </c>
      <c r="B37" s="4">
        <f>TEXT(A37,"ddd")</f>
        <v/>
      </c>
      <c r="C37" s="14" t="n">
        <v>1848.3</v>
      </c>
      <c r="D37" s="14" t="n">
        <v>1850.4</v>
      </c>
      <c r="E37" s="14" t="n">
        <v>1802.4</v>
      </c>
      <c r="F37" s="14" t="n">
        <v>1806.3</v>
      </c>
      <c r="G37" s="9">
        <f>F37-F36</f>
        <v/>
      </c>
      <c r="H37" s="10">
        <f>IF(F36=0,0,G37/F36)</f>
        <v/>
      </c>
      <c r="I37" s="8">
        <f>D37-E37</f>
        <v/>
      </c>
      <c r="J37" s="4">
        <f>IF(F37&gt;C37,"Up",IF(F37&lt;C37,"Down","Flat"))</f>
        <v/>
      </c>
      <c r="K37" s="14" t="n">
        <v>25.1</v>
      </c>
      <c r="L37" s="15" t="n">
        <v>44.17</v>
      </c>
      <c r="M37" s="14" t="n">
        <v>1828.54</v>
      </c>
      <c r="N37" s="14" t="n"/>
      <c r="O37" s="14" t="n"/>
      <c r="P37" s="4">
        <f>IF(O37="","",IF(F37&gt;O37,"Above","Below"))</f>
        <v/>
      </c>
      <c r="Q37" s="16" t="n">
        <v>352857</v>
      </c>
      <c r="R37" s="17" t="n">
        <v>0</v>
      </c>
      <c r="S37" s="17" t="n">
        <v>0</v>
      </c>
      <c r="T37" s="17" t="n">
        <v>0</v>
      </c>
      <c r="U37" s="18" t="n">
        <v>0</v>
      </c>
    </row>
    <row r="38">
      <c r="A38" s="13" t="n">
        <v>44523</v>
      </c>
      <c r="B38" s="4">
        <f>TEXT(A38,"ddd")</f>
        <v/>
      </c>
      <c r="C38" s="14" t="n">
        <v>1807.1</v>
      </c>
      <c r="D38" s="14" t="n">
        <v>1812.5</v>
      </c>
      <c r="E38" s="14" t="n">
        <v>1781.7</v>
      </c>
      <c r="F38" s="14" t="n">
        <v>1783.8</v>
      </c>
      <c r="G38" s="9">
        <f>F38-F37</f>
        <v/>
      </c>
      <c r="H38" s="10">
        <f>IF(F37=0,0,G38/F37)</f>
        <v/>
      </c>
      <c r="I38" s="8">
        <f>D38-E38</f>
        <v/>
      </c>
      <c r="J38" s="4">
        <f>IF(F38&gt;C38,"Up",IF(F38&lt;C38,"Down","Flat"))</f>
        <v/>
      </c>
      <c r="K38" s="14" t="n">
        <v>25.51</v>
      </c>
      <c r="L38" s="15" t="n">
        <v>39.22</v>
      </c>
      <c r="M38" s="14" t="n">
        <v>1824.28</v>
      </c>
      <c r="N38" s="14" t="n"/>
      <c r="O38" s="14" t="n"/>
      <c r="P38" s="4">
        <f>IF(O38="","",IF(F38&gt;O38,"Above","Below"))</f>
        <v/>
      </c>
      <c r="Q38" s="16" t="n">
        <v>311348</v>
      </c>
      <c r="R38" s="17" t="n">
        <v>0</v>
      </c>
      <c r="S38" s="17" t="n">
        <v>0</v>
      </c>
      <c r="T38" s="17" t="n">
        <v>0</v>
      </c>
      <c r="U38" s="18" t="n">
        <v>0</v>
      </c>
    </row>
    <row r="39">
      <c r="A39" s="13" t="n">
        <v>44524</v>
      </c>
      <c r="B39" s="4">
        <f>TEXT(A39,"ddd")</f>
        <v/>
      </c>
      <c r="C39" s="14" t="n">
        <v>1789.8</v>
      </c>
      <c r="D39" s="14" t="n">
        <v>1796.2</v>
      </c>
      <c r="E39" s="14" t="n">
        <v>1777.4</v>
      </c>
      <c r="F39" s="14" t="n">
        <v>1784.3</v>
      </c>
      <c r="G39" s="9">
        <f>F39-F38</f>
        <v/>
      </c>
      <c r="H39" s="10">
        <f>IF(F38=0,0,G39/F38)</f>
        <v/>
      </c>
      <c r="I39" s="8">
        <f>D39-E39</f>
        <v/>
      </c>
      <c r="J39" s="4">
        <f>IF(F39&gt;C39,"Up",IF(F39&lt;C39,"Down","Flat"))</f>
        <v/>
      </c>
      <c r="K39" s="14" t="n">
        <v>25.03</v>
      </c>
      <c r="L39" s="15" t="n">
        <v>39.38</v>
      </c>
      <c r="M39" s="14" t="n">
        <v>1820.47</v>
      </c>
      <c r="N39" s="14" t="n"/>
      <c r="O39" s="14" t="n"/>
      <c r="P39" s="4">
        <f>IF(O39="","",IF(F39&gt;O39,"Above","Below"))</f>
        <v/>
      </c>
      <c r="Q39" s="16" t="n">
        <v>203236</v>
      </c>
      <c r="R39" s="17" t="n">
        <v>0</v>
      </c>
      <c r="S39" s="17" t="n">
        <v>0</v>
      </c>
      <c r="T39" s="17" t="n">
        <v>0</v>
      </c>
      <c r="U39" s="18" t="n">
        <v>0</v>
      </c>
    </row>
    <row r="40">
      <c r="A40" s="13" t="n">
        <v>44526</v>
      </c>
      <c r="B40" s="4">
        <f>TEXT(A40,"ddd")</f>
        <v/>
      </c>
      <c r="C40" s="14" t="n">
        <v>1789.6</v>
      </c>
      <c r="D40" s="14" t="n">
        <v>1816.3</v>
      </c>
      <c r="E40" s="14" t="n">
        <v>1778.6</v>
      </c>
      <c r="F40" s="14" t="n">
        <v>1785.5</v>
      </c>
      <c r="G40" s="9">
        <f>F40-F39</f>
        <v/>
      </c>
      <c r="H40" s="10">
        <f>IF(F39=0,0,G40/F39)</f>
        <v/>
      </c>
      <c r="I40" s="8">
        <f>D40-E40</f>
        <v/>
      </c>
      <c r="J40" s="4">
        <f>IF(F40&gt;C40,"Up",IF(F40&lt;C40,"Down","Flat"))</f>
        <v/>
      </c>
      <c r="K40" s="14" t="n">
        <v>25.93</v>
      </c>
      <c r="L40" s="15" t="n">
        <v>39.79</v>
      </c>
      <c r="M40" s="14" t="n">
        <v>1817.14</v>
      </c>
      <c r="N40" s="14" t="n"/>
      <c r="O40" s="14" t="n"/>
      <c r="P40" s="4">
        <f>IF(O40="","",IF(F40&gt;O40,"Above","Below"))</f>
        <v/>
      </c>
      <c r="Q40" s="16" t="n">
        <v>186800</v>
      </c>
      <c r="R40" s="17" t="n">
        <v>0</v>
      </c>
      <c r="S40" s="17" t="n">
        <v>0</v>
      </c>
      <c r="T40" s="17" t="n">
        <v>0</v>
      </c>
      <c r="U40" s="18" t="n">
        <v>0</v>
      </c>
    </row>
    <row r="41">
      <c r="A41" s="13" t="n">
        <v>44529</v>
      </c>
      <c r="B41" s="4">
        <f>TEXT(A41,"ddd")</f>
        <v/>
      </c>
      <c r="C41" s="14" t="n">
        <v>1791.7</v>
      </c>
      <c r="D41" s="14" t="n">
        <v>1798.9</v>
      </c>
      <c r="E41" s="14" t="n">
        <v>1779.1</v>
      </c>
      <c r="F41" s="14" t="n">
        <v>1782.3</v>
      </c>
      <c r="G41" s="9">
        <f>F41-F40</f>
        <v/>
      </c>
      <c r="H41" s="10">
        <f>IF(F40=0,0,G41/F40)</f>
        <v/>
      </c>
      <c r="I41" s="8">
        <f>D41-E41</f>
        <v/>
      </c>
      <c r="J41" s="4">
        <f>IF(F41&gt;C41,"Up",IF(F41&lt;C41,"Down","Flat"))</f>
        <v/>
      </c>
      <c r="K41" s="14" t="n">
        <v>25.5</v>
      </c>
      <c r="L41" s="15" t="n">
        <v>39.02</v>
      </c>
      <c r="M41" s="14" t="n">
        <v>1813.82</v>
      </c>
      <c r="N41" s="14" t="n"/>
      <c r="O41" s="14" t="n"/>
      <c r="P41" s="4">
        <f>IF(O41="","",IF(F41&gt;O41,"Above","Below"))</f>
        <v/>
      </c>
      <c r="Q41" s="16" t="n">
        <v>26926</v>
      </c>
      <c r="R41" s="17" t="n">
        <v>0</v>
      </c>
      <c r="S41" s="17" t="n">
        <v>0</v>
      </c>
      <c r="T41" s="17" t="n">
        <v>0</v>
      </c>
      <c r="U41" s="18" t="n">
        <v>0</v>
      </c>
    </row>
    <row r="42">
      <c r="A42" s="13" t="n">
        <v>44530</v>
      </c>
      <c r="B42" s="4">
        <f>TEXT(A42,"ddd")</f>
        <v/>
      </c>
      <c r="C42" s="14" t="n">
        <v>1783.9</v>
      </c>
      <c r="D42" s="14" t="n">
        <v>1808.1</v>
      </c>
      <c r="E42" s="14" t="n">
        <v>1768.7</v>
      </c>
      <c r="F42" s="14" t="n">
        <v>1773.6</v>
      </c>
      <c r="G42" s="9">
        <f>F42-F41</f>
        <v/>
      </c>
      <c r="H42" s="10">
        <f>IF(F41=0,0,G42/F41)</f>
        <v/>
      </c>
      <c r="I42" s="8">
        <f>D42-E42</f>
        <v/>
      </c>
      <c r="J42" s="4">
        <f>IF(F42&gt;C42,"Up",IF(F42&lt;C42,"Down","Flat"))</f>
        <v/>
      </c>
      <c r="K42" s="14" t="n">
        <v>26.49</v>
      </c>
      <c r="L42" s="15" t="n">
        <v>36.93</v>
      </c>
      <c r="M42" s="14" t="n">
        <v>1809.99</v>
      </c>
      <c r="N42" s="14" t="n"/>
      <c r="O42" s="14" t="n"/>
      <c r="P42" s="4">
        <f>IF(O42="","",IF(F42&gt;O42,"Above","Below"))</f>
        <v/>
      </c>
      <c r="Q42" s="16" t="n">
        <v>242861</v>
      </c>
      <c r="R42" s="17" t="n">
        <v>0</v>
      </c>
      <c r="S42" s="17" t="n">
        <v>0</v>
      </c>
      <c r="T42" s="17" t="n">
        <v>0</v>
      </c>
      <c r="U42" s="18" t="n">
        <v>0</v>
      </c>
    </row>
    <row r="43">
      <c r="A43" s="13" t="n">
        <v>44531</v>
      </c>
      <c r="B43" s="4">
        <f>TEXT(A43,"ddd")</f>
        <v/>
      </c>
      <c r="C43" s="14" t="n">
        <v>1777.4</v>
      </c>
      <c r="D43" s="14" t="n">
        <v>1795.7</v>
      </c>
      <c r="E43" s="14" t="n">
        <v>1773.7</v>
      </c>
      <c r="F43" s="14" t="n">
        <v>1784.3</v>
      </c>
      <c r="G43" s="9">
        <f>F43-F42</f>
        <v/>
      </c>
      <c r="H43" s="10">
        <f>IF(F42=0,0,G43/F42)</f>
        <v/>
      </c>
      <c r="I43" s="8">
        <f>D43-E43</f>
        <v/>
      </c>
      <c r="J43" s="4">
        <f>IF(F43&gt;C43,"Up",IF(F43&lt;C43,"Down","Flat"))</f>
        <v/>
      </c>
      <c r="K43" s="14" t="n">
        <v>26.17</v>
      </c>
      <c r="L43" s="15" t="n">
        <v>41.11</v>
      </c>
      <c r="M43" s="14" t="n">
        <v>1807.54</v>
      </c>
      <c r="N43" s="14" t="n"/>
      <c r="O43" s="14" t="n"/>
      <c r="P43" s="4">
        <f>IF(O43="","",IF(F43&gt;O43,"Above","Below"))</f>
        <v/>
      </c>
      <c r="Q43" s="16" t="n">
        <v>180336</v>
      </c>
      <c r="R43" s="17" t="n">
        <v>0</v>
      </c>
      <c r="S43" s="17" t="n">
        <v>0</v>
      </c>
      <c r="T43" s="17" t="n">
        <v>0</v>
      </c>
      <c r="U43" s="18" t="n">
        <v>0</v>
      </c>
    </row>
    <row r="44">
      <c r="A44" s="13" t="n">
        <v>44532</v>
      </c>
      <c r="B44" s="4">
        <f>TEXT(A44,"ddd")</f>
        <v/>
      </c>
      <c r="C44" s="14" t="n">
        <v>1783.8</v>
      </c>
      <c r="D44" s="14" t="n">
        <v>1785.2</v>
      </c>
      <c r="E44" s="14" t="n">
        <v>1762.2</v>
      </c>
      <c r="F44" s="14" t="n">
        <v>1762.7</v>
      </c>
      <c r="G44" s="9">
        <f>F44-F43</f>
        <v/>
      </c>
      <c r="H44" s="10">
        <f>IF(F43=0,0,G44/F43)</f>
        <v/>
      </c>
      <c r="I44" s="8">
        <f>D44-E44</f>
        <v/>
      </c>
      <c r="J44" s="4">
        <f>IF(F44&gt;C44,"Up",IF(F44&lt;C44,"Down","Flat"))</f>
        <v/>
      </c>
      <c r="K44" s="14" t="n">
        <v>25.95</v>
      </c>
      <c r="L44" s="15" t="n">
        <v>35.93</v>
      </c>
      <c r="M44" s="14" t="n">
        <v>1803.27</v>
      </c>
      <c r="N44" s="14" t="n"/>
      <c r="O44" s="14" t="n"/>
      <c r="P44" s="4">
        <f>IF(O44="","",IF(F44&gt;O44,"Above","Below"))</f>
        <v/>
      </c>
      <c r="Q44" s="16" t="n">
        <v>172719</v>
      </c>
      <c r="R44" s="17" t="n">
        <v>0</v>
      </c>
      <c r="S44" s="17" t="n">
        <v>0</v>
      </c>
      <c r="T44" s="17" t="n">
        <v>0</v>
      </c>
      <c r="U44" s="18" t="n">
        <v>0</v>
      </c>
    </row>
    <row r="45">
      <c r="A45" s="13" t="n">
        <v>44533</v>
      </c>
      <c r="B45" s="4">
        <f>TEXT(A45,"ddd")</f>
        <v/>
      </c>
      <c r="C45" s="14" t="n">
        <v>1769.4</v>
      </c>
      <c r="D45" s="14" t="n">
        <v>1788</v>
      </c>
      <c r="E45" s="14" t="n">
        <v>1766</v>
      </c>
      <c r="F45" s="14" t="n">
        <v>1783.9</v>
      </c>
      <c r="G45" s="9">
        <f>F45-F44</f>
        <v/>
      </c>
      <c r="H45" s="10">
        <f>IF(F44=0,0,G45/F44)</f>
        <v/>
      </c>
      <c r="I45" s="8">
        <f>D45-E45</f>
        <v/>
      </c>
      <c r="J45" s="4">
        <f>IF(F45&gt;C45,"Up",IF(F45&lt;C45,"Down","Flat"))</f>
        <v/>
      </c>
      <c r="K45" s="14" t="n">
        <v>25.9</v>
      </c>
      <c r="L45" s="15" t="n">
        <v>43.46</v>
      </c>
      <c r="M45" s="14" t="n">
        <v>1801.43</v>
      </c>
      <c r="N45" s="14" t="n"/>
      <c r="O45" s="14" t="n"/>
      <c r="P45" s="4">
        <f>IF(O45="","",IF(F45&gt;O45,"Above","Below"))</f>
        <v/>
      </c>
      <c r="Q45" s="16" t="n">
        <v>175176</v>
      </c>
      <c r="R45" s="17" t="n">
        <v>0</v>
      </c>
      <c r="S45" s="17" t="n">
        <v>0</v>
      </c>
      <c r="T45" s="17" t="n">
        <v>0</v>
      </c>
      <c r="U45" s="18" t="n">
        <v>0</v>
      </c>
    </row>
    <row r="46">
      <c r="A46" s="13" t="n">
        <v>44536</v>
      </c>
      <c r="B46" s="4">
        <f>TEXT(A46,"ddd")</f>
        <v/>
      </c>
      <c r="C46" s="14" t="n">
        <v>1787.7</v>
      </c>
      <c r="D46" s="14" t="n">
        <v>1789</v>
      </c>
      <c r="E46" s="14" t="n">
        <v>1776.4</v>
      </c>
      <c r="F46" s="14" t="n">
        <v>1779.5</v>
      </c>
      <c r="G46" s="9">
        <f>F46-F45</f>
        <v/>
      </c>
      <c r="H46" s="10">
        <f>IF(F45=0,0,G46/F45)</f>
        <v/>
      </c>
      <c r="I46" s="8">
        <f>D46-E46</f>
        <v/>
      </c>
      <c r="J46" s="4">
        <f>IF(F46&gt;C46,"Up",IF(F46&lt;C46,"Down","Flat"))</f>
        <v/>
      </c>
      <c r="K46" s="14" t="n">
        <v>24.95</v>
      </c>
      <c r="L46" s="15" t="n">
        <v>42.35</v>
      </c>
      <c r="M46" s="14" t="n">
        <v>1799.34</v>
      </c>
      <c r="N46" s="14" t="n"/>
      <c r="O46" s="14" t="n"/>
      <c r="P46" s="4">
        <f>IF(O46="","",IF(F46&gt;O46,"Above","Below"))</f>
        <v/>
      </c>
      <c r="Q46" s="16" t="n">
        <v>104477</v>
      </c>
      <c r="R46" s="17" t="n">
        <v>0</v>
      </c>
      <c r="S46" s="17" t="n">
        <v>0</v>
      </c>
      <c r="T46" s="17" t="n">
        <v>0</v>
      </c>
      <c r="U46" s="18" t="n">
        <v>0</v>
      </c>
    </row>
    <row r="47">
      <c r="A47" s="13" t="n">
        <v>44537</v>
      </c>
      <c r="B47" s="4">
        <f>TEXT(A47,"ddd")</f>
        <v/>
      </c>
      <c r="C47" s="14" t="n">
        <v>1779.5</v>
      </c>
      <c r="D47" s="14" t="n">
        <v>1789.3</v>
      </c>
      <c r="E47" s="14" t="n">
        <v>1772.4</v>
      </c>
      <c r="F47" s="14" t="n">
        <v>1784.7</v>
      </c>
      <c r="G47" s="9">
        <f>F47-F46</f>
        <v/>
      </c>
      <c r="H47" s="10">
        <f>IF(F46=0,0,G47/F46)</f>
        <v/>
      </c>
      <c r="I47" s="8">
        <f>D47-E47</f>
        <v/>
      </c>
      <c r="J47" s="4">
        <f>IF(F47&gt;C47,"Up",IF(F47&lt;C47,"Down","Flat"))</f>
        <v/>
      </c>
      <c r="K47" s="14" t="n">
        <v>24.38</v>
      </c>
      <c r="L47" s="15" t="n">
        <v>44.17</v>
      </c>
      <c r="M47" s="14" t="n">
        <v>1797.95</v>
      </c>
      <c r="N47" s="14" t="n"/>
      <c r="O47" s="14" t="n"/>
      <c r="P47" s="4">
        <f>IF(O47="","",IF(F47&gt;O47,"Above","Below"))</f>
        <v/>
      </c>
      <c r="Q47" s="16" t="n">
        <v>129894</v>
      </c>
      <c r="R47" s="17" t="n">
        <v>0</v>
      </c>
      <c r="S47" s="17" t="n">
        <v>0</v>
      </c>
      <c r="T47" s="17" t="n">
        <v>0</v>
      </c>
      <c r="U47" s="18" t="n">
        <v>0</v>
      </c>
    </row>
    <row r="48">
      <c r="A48" s="13" t="n">
        <v>44538</v>
      </c>
      <c r="B48" s="4">
        <f>TEXT(A48,"ddd")</f>
        <v/>
      </c>
      <c r="C48" s="14" t="n">
        <v>1785.1</v>
      </c>
      <c r="D48" s="14" t="n">
        <v>1794.3</v>
      </c>
      <c r="E48" s="14" t="n">
        <v>1780.1</v>
      </c>
      <c r="F48" s="14" t="n">
        <v>1785.5</v>
      </c>
      <c r="G48" s="9">
        <f>F48-F47</f>
        <v/>
      </c>
      <c r="H48" s="10">
        <f>IF(F47=0,0,G48/F47)</f>
        <v/>
      </c>
      <c r="I48" s="8">
        <f>D48-E48</f>
        <v/>
      </c>
      <c r="J48" s="4">
        <f>IF(F48&gt;C48,"Up",IF(F48&lt;C48,"Down","Flat"))</f>
        <v/>
      </c>
      <c r="K48" s="14" t="n">
        <v>23.65</v>
      </c>
      <c r="L48" s="15" t="n">
        <v>44.46</v>
      </c>
      <c r="M48" s="14" t="n">
        <v>1796.76</v>
      </c>
      <c r="N48" s="14" t="n"/>
      <c r="O48" s="14" t="n"/>
      <c r="P48" s="4">
        <f>IF(O48="","",IF(F48&gt;O48,"Above","Below"))</f>
        <v/>
      </c>
      <c r="Q48" s="16" t="n">
        <v>109692</v>
      </c>
      <c r="R48" s="17" t="n">
        <v>0</v>
      </c>
      <c r="S48" s="17" t="n">
        <v>0</v>
      </c>
      <c r="T48" s="17" t="n">
        <v>0</v>
      </c>
      <c r="U48" s="18" t="n">
        <v>0</v>
      </c>
    </row>
    <row r="49">
      <c r="A49" s="13" t="n">
        <v>44539</v>
      </c>
      <c r="B49" s="4">
        <f>TEXT(A49,"ddd")</f>
        <v/>
      </c>
      <c r="C49" s="14" t="n">
        <v>1784.3</v>
      </c>
      <c r="D49" s="14" t="n">
        <v>1788.4</v>
      </c>
      <c r="E49" s="14" t="n">
        <v>1773.3</v>
      </c>
      <c r="F49" s="14" t="n">
        <v>1776.7</v>
      </c>
      <c r="G49" s="9">
        <f>F49-F48</f>
        <v/>
      </c>
      <c r="H49" s="10">
        <f>IF(F48=0,0,G49/F48)</f>
        <v/>
      </c>
      <c r="I49" s="8">
        <f>D49-E49</f>
        <v/>
      </c>
      <c r="J49" s="4">
        <f>IF(F49&gt;C49,"Up",IF(F49&lt;C49,"Down","Flat"))</f>
        <v/>
      </c>
      <c r="K49" s="14" t="n">
        <v>23.04</v>
      </c>
      <c r="L49" s="15" t="n">
        <v>41.88</v>
      </c>
      <c r="M49" s="14" t="n">
        <v>1794.85</v>
      </c>
      <c r="N49" s="14" t="n"/>
      <c r="O49" s="14" t="n"/>
      <c r="P49" s="4">
        <f>IF(O49="","",IF(F49&gt;O49,"Above","Below"))</f>
        <v/>
      </c>
      <c r="Q49" s="16" t="n">
        <v>123974</v>
      </c>
      <c r="R49" s="17" t="n">
        <v>0</v>
      </c>
      <c r="S49" s="17" t="n">
        <v>0</v>
      </c>
      <c r="T49" s="17" t="n">
        <v>0</v>
      </c>
      <c r="U49" s="18" t="n">
        <v>0</v>
      </c>
    </row>
    <row r="50">
      <c r="A50" s="13" t="n">
        <v>44540</v>
      </c>
      <c r="B50" s="4">
        <f>TEXT(A50,"ddd")</f>
        <v/>
      </c>
      <c r="C50" s="14" t="n">
        <v>1776.3</v>
      </c>
      <c r="D50" s="14" t="n">
        <v>1791</v>
      </c>
      <c r="E50" s="14" t="n">
        <v>1770.4</v>
      </c>
      <c r="F50" s="14" t="n">
        <v>1784.8</v>
      </c>
      <c r="G50" s="9">
        <f>F50-F49</f>
        <v/>
      </c>
      <c r="H50" s="10">
        <f>IF(F49=0,0,G50/F49)</f>
        <v/>
      </c>
      <c r="I50" s="8">
        <f>D50-E50</f>
        <v/>
      </c>
      <c r="J50" s="4">
        <f>IF(F50&gt;C50,"Up",IF(F50&lt;C50,"Down","Flat"))</f>
        <v/>
      </c>
      <c r="K50" s="14" t="n">
        <v>22.86</v>
      </c>
      <c r="L50" s="15" t="n">
        <v>45.04</v>
      </c>
      <c r="M50" s="14" t="n">
        <v>1793.89</v>
      </c>
      <c r="N50" s="14" t="n"/>
      <c r="O50" s="14" t="n"/>
      <c r="P50" s="4">
        <f>IF(O50="","",IF(F50&gt;O50,"Above","Below"))</f>
        <v/>
      </c>
      <c r="Q50" s="16" t="n">
        <v>141995</v>
      </c>
      <c r="R50" s="17" t="n">
        <v>0</v>
      </c>
      <c r="S50" s="17" t="n">
        <v>0</v>
      </c>
      <c r="T50" s="17" t="n">
        <v>0</v>
      </c>
      <c r="U50" s="18" t="n">
        <v>0</v>
      </c>
    </row>
    <row r="51">
      <c r="A51" s="13" t="n">
        <v>44543</v>
      </c>
      <c r="B51" s="4">
        <f>TEXT(A51,"ddd")</f>
        <v/>
      </c>
      <c r="C51" s="14" t="n">
        <v>1784.2</v>
      </c>
      <c r="D51" s="14" t="n">
        <v>1792.8</v>
      </c>
      <c r="E51" s="14" t="n">
        <v>1782.2</v>
      </c>
      <c r="F51" s="14" t="n">
        <v>1788.3</v>
      </c>
      <c r="G51" s="9">
        <f>F51-F50</f>
        <v/>
      </c>
      <c r="H51" s="10">
        <f>IF(F50=0,0,G51/F50)</f>
        <v/>
      </c>
      <c r="I51" s="8">
        <f>D51-E51</f>
        <v/>
      </c>
      <c r="J51" s="4">
        <f>IF(F51&gt;C51,"Up",IF(F51&lt;C51,"Down","Flat"))</f>
        <v/>
      </c>
      <c r="K51" s="14" t="n">
        <v>21.99</v>
      </c>
      <c r="L51" s="15" t="n">
        <v>46.4</v>
      </c>
      <c r="M51" s="14" t="n">
        <v>1793.36</v>
      </c>
      <c r="N51" s="14" t="n">
        <v>1794.23</v>
      </c>
      <c r="O51" s="14" t="n"/>
      <c r="P51" s="4">
        <f>IF(O51="","",IF(F51&gt;O51,"Above","Below"))</f>
        <v/>
      </c>
      <c r="Q51" s="16" t="n">
        <v>106057</v>
      </c>
      <c r="R51" s="17" t="n">
        <v>0</v>
      </c>
      <c r="S51" s="17" t="n">
        <v>0</v>
      </c>
      <c r="T51" s="17" t="n">
        <v>0</v>
      </c>
      <c r="U51" s="18" t="n">
        <v>0</v>
      </c>
    </row>
    <row r="52">
      <c r="A52" s="13" t="n">
        <v>44544</v>
      </c>
      <c r="B52" s="4">
        <f>TEXT(A52,"ddd")</f>
        <v/>
      </c>
      <c r="C52" s="14" t="n">
        <v>1787.6</v>
      </c>
      <c r="D52" s="14" t="n">
        <v>1789.8</v>
      </c>
      <c r="E52" s="14" t="n">
        <v>1766.1</v>
      </c>
      <c r="F52" s="14" t="n">
        <v>1772.3</v>
      </c>
      <c r="G52" s="9">
        <f>F52-F51</f>
        <v/>
      </c>
      <c r="H52" s="10">
        <f>IF(F51=0,0,G52/F51)</f>
        <v/>
      </c>
      <c r="I52" s="8">
        <f>D52-E52</f>
        <v/>
      </c>
      <c r="J52" s="4">
        <f>IF(F52&gt;C52,"Up",IF(F52&lt;C52,"Down","Flat"))</f>
        <v/>
      </c>
      <c r="K52" s="14" t="n">
        <v>22.11</v>
      </c>
      <c r="L52" s="15" t="n">
        <v>41.37</v>
      </c>
      <c r="M52" s="14" t="n">
        <v>1791.35</v>
      </c>
      <c r="N52" s="14" t="n">
        <v>1793.37</v>
      </c>
      <c r="O52" s="14" t="n"/>
      <c r="P52" s="4">
        <f>IF(O52="","",IF(F52&gt;O52,"Above","Below"))</f>
        <v/>
      </c>
      <c r="Q52" s="16" t="n">
        <v>153249</v>
      </c>
      <c r="R52" s="17" t="n">
        <v>0</v>
      </c>
      <c r="S52" s="17" t="n">
        <v>0</v>
      </c>
      <c r="T52" s="17" t="n">
        <v>0</v>
      </c>
      <c r="U52" s="18" t="n">
        <v>0</v>
      </c>
    </row>
    <row r="53">
      <c r="A53" s="13" t="n">
        <v>44545</v>
      </c>
      <c r="B53" s="4">
        <f>TEXT(A53,"ddd")</f>
        <v/>
      </c>
      <c r="C53" s="14" t="n">
        <v>1771.9</v>
      </c>
      <c r="D53" s="14" t="n">
        <v>1781.3</v>
      </c>
      <c r="E53" s="14" t="n">
        <v>1753</v>
      </c>
      <c r="F53" s="14" t="n">
        <v>1764.5</v>
      </c>
      <c r="G53" s="9">
        <f>F53-F52</f>
        <v/>
      </c>
      <c r="H53" s="10">
        <f>IF(F52=0,0,G53/F52)</f>
        <v/>
      </c>
      <c r="I53" s="8">
        <f>D53-E53</f>
        <v/>
      </c>
      <c r="J53" s="4">
        <f>IF(F53&gt;C53,"Up",IF(F53&lt;C53,"Down","Flat"))</f>
        <v/>
      </c>
      <c r="K53" s="14" t="n">
        <v>22.55</v>
      </c>
      <c r="L53" s="15" t="n">
        <v>39.14</v>
      </c>
      <c r="M53" s="14" t="n">
        <v>1788.8</v>
      </c>
      <c r="N53" s="14" t="n">
        <v>1792.24</v>
      </c>
      <c r="O53" s="14" t="n"/>
      <c r="P53" s="4">
        <f>IF(O53="","",IF(F53&gt;O53,"Above","Below"))</f>
        <v/>
      </c>
      <c r="Q53" s="16" t="n">
        <v>161101</v>
      </c>
      <c r="R53" s="17" t="n">
        <v>0</v>
      </c>
      <c r="S53" s="17" t="n">
        <v>0</v>
      </c>
      <c r="T53" s="17" t="n">
        <v>0</v>
      </c>
      <c r="U53" s="18" t="n">
        <v>0</v>
      </c>
    </row>
    <row r="54">
      <c r="A54" s="13" t="n">
        <v>44546</v>
      </c>
      <c r="B54" s="4">
        <f>TEXT(A54,"ddd")</f>
        <v/>
      </c>
      <c r="C54" s="14" t="n">
        <v>1777.9</v>
      </c>
      <c r="D54" s="14" t="n">
        <v>1800.7</v>
      </c>
      <c r="E54" s="14" t="n">
        <v>1775.7</v>
      </c>
      <c r="F54" s="14" t="n">
        <v>1798.2</v>
      </c>
      <c r="G54" s="9">
        <f>F54-F53</f>
        <v/>
      </c>
      <c r="H54" s="10">
        <f>IF(F53=0,0,G54/F53)</f>
        <v/>
      </c>
      <c r="I54" s="8">
        <f>D54-E54</f>
        <v/>
      </c>
      <c r="J54" s="4">
        <f>IF(F54&gt;C54,"Up",IF(F54&lt;C54,"Down","Flat"))</f>
        <v/>
      </c>
      <c r="K54" s="14" t="n">
        <v>23.53</v>
      </c>
      <c r="L54" s="15" t="n">
        <v>51.33</v>
      </c>
      <c r="M54" s="14" t="n">
        <v>1789.69</v>
      </c>
      <c r="N54" s="14" t="n">
        <v>1792.48</v>
      </c>
      <c r="O54" s="14" t="n"/>
      <c r="P54" s="4">
        <f>IF(O54="","",IF(F54&gt;O54,"Above","Below"))</f>
        <v/>
      </c>
      <c r="Q54" s="16" t="n">
        <v>167777</v>
      </c>
      <c r="R54" s="17" t="n">
        <v>0</v>
      </c>
      <c r="S54" s="17" t="n">
        <v>0</v>
      </c>
      <c r="T54" s="17" t="n">
        <v>0</v>
      </c>
      <c r="U54" s="18" t="n">
        <v>0</v>
      </c>
    </row>
    <row r="55">
      <c r="A55" s="13" t="n">
        <v>44547</v>
      </c>
      <c r="B55" s="4">
        <f>TEXT(A55,"ddd")</f>
        <v/>
      </c>
      <c r="C55" s="14" t="n">
        <v>1801.5</v>
      </c>
      <c r="D55" s="14" t="n">
        <v>1815.7</v>
      </c>
      <c r="E55" s="14" t="n">
        <v>1796.5</v>
      </c>
      <c r="F55" s="14" t="n">
        <v>1804.9</v>
      </c>
      <c r="G55" s="9">
        <f>F55-F54</f>
        <v/>
      </c>
      <c r="H55" s="10">
        <f>IF(F54=0,0,G55/F54)</f>
        <v/>
      </c>
      <c r="I55" s="8">
        <f>D55-E55</f>
        <v/>
      </c>
      <c r="J55" s="4">
        <f>IF(F55&gt;C55,"Up",IF(F55&lt;C55,"Down","Flat"))</f>
        <v/>
      </c>
      <c r="K55" s="14" t="n">
        <v>23.22</v>
      </c>
      <c r="L55" s="15" t="n">
        <v>53.33</v>
      </c>
      <c r="M55" s="14" t="n">
        <v>1791.14</v>
      </c>
      <c r="N55" s="14" t="n">
        <v>1792.96</v>
      </c>
      <c r="O55" s="14" t="n"/>
      <c r="P55" s="4">
        <f>IF(O55="","",IF(F55&gt;O55,"Above","Below"))</f>
        <v/>
      </c>
      <c r="Q55" s="16" t="n">
        <v>156607</v>
      </c>
      <c r="R55" s="17" t="n">
        <v>0</v>
      </c>
      <c r="S55" s="17" t="n">
        <v>0</v>
      </c>
      <c r="T55" s="17" t="n">
        <v>0</v>
      </c>
      <c r="U55" s="18" t="n">
        <v>0</v>
      </c>
    </row>
    <row r="56">
      <c r="A56" s="13" t="n">
        <v>44550</v>
      </c>
      <c r="B56" s="4">
        <f>TEXT(A56,"ddd")</f>
        <v/>
      </c>
      <c r="C56" s="14" t="n">
        <v>1800.2</v>
      </c>
      <c r="D56" s="14" t="n">
        <v>1804.6</v>
      </c>
      <c r="E56" s="14" t="n">
        <v>1789</v>
      </c>
      <c r="F56" s="14" t="n">
        <v>1794.6</v>
      </c>
      <c r="G56" s="9">
        <f>F56-F55</f>
        <v/>
      </c>
      <c r="H56" s="10">
        <f>IF(F55=0,0,G56/F55)</f>
        <v/>
      </c>
      <c r="I56" s="8">
        <f>D56-E56</f>
        <v/>
      </c>
      <c r="J56" s="4">
        <f>IF(F56&gt;C56,"Up",IF(F56&lt;C56,"Down","Flat"))</f>
        <v/>
      </c>
      <c r="K56" s="14" t="n">
        <v>22.7</v>
      </c>
      <c r="L56" s="15" t="n">
        <v>49.93</v>
      </c>
      <c r="M56" s="14" t="n">
        <v>1791.47</v>
      </c>
      <c r="N56" s="14" t="n">
        <v>1793.03</v>
      </c>
      <c r="O56" s="14" t="n"/>
      <c r="P56" s="4">
        <f>IF(O56="","",IF(F56&gt;O56,"Above","Below"))</f>
        <v/>
      </c>
      <c r="Q56" s="16" t="n">
        <v>105386</v>
      </c>
      <c r="R56" s="17" t="n">
        <v>0</v>
      </c>
      <c r="S56" s="17" t="n">
        <v>0</v>
      </c>
      <c r="T56" s="17" t="n">
        <v>0</v>
      </c>
      <c r="U56" s="18" t="n">
        <v>0</v>
      </c>
    </row>
    <row r="57">
      <c r="A57" s="13" t="n">
        <v>44551</v>
      </c>
      <c r="B57" s="4">
        <f>TEXT(A57,"ddd")</f>
        <v/>
      </c>
      <c r="C57" s="14" t="n">
        <v>1791.4</v>
      </c>
      <c r="D57" s="14" t="n">
        <v>1801.7</v>
      </c>
      <c r="E57" s="14" t="n">
        <v>1785</v>
      </c>
      <c r="F57" s="14" t="n">
        <v>1788.7</v>
      </c>
      <c r="G57" s="9">
        <f>F57-F56</f>
        <v/>
      </c>
      <c r="H57" s="10">
        <f>IF(F56=0,0,G57/F56)</f>
        <v/>
      </c>
      <c r="I57" s="8">
        <f>D57-E57</f>
        <v/>
      </c>
      <c r="J57" s="4">
        <f>IF(F57&gt;C57,"Up",IF(F57&lt;C57,"Down","Flat"))</f>
        <v/>
      </c>
      <c r="K57" s="14" t="n">
        <v>22.27</v>
      </c>
      <c r="L57" s="15" t="n">
        <v>48.05</v>
      </c>
      <c r="M57" s="14" t="n">
        <v>1791.21</v>
      </c>
      <c r="N57" s="14" t="n">
        <v>1792.86</v>
      </c>
      <c r="O57" s="14" t="n"/>
      <c r="P57" s="4">
        <f>IF(O57="","",IF(F57&gt;O57,"Above","Below"))</f>
        <v/>
      </c>
      <c r="Q57" s="16" t="n">
        <v>134154</v>
      </c>
      <c r="R57" s="17" t="n">
        <v>0</v>
      </c>
      <c r="S57" s="17" t="n">
        <v>0</v>
      </c>
      <c r="T57" s="17" t="n">
        <v>0</v>
      </c>
      <c r="U57" s="18" t="n">
        <v>0</v>
      </c>
    </row>
    <row r="58">
      <c r="A58" s="13" t="n">
        <v>44552</v>
      </c>
      <c r="B58" s="4">
        <f>TEXT(A58,"ddd")</f>
        <v/>
      </c>
      <c r="C58" s="14" t="n">
        <v>1789.4</v>
      </c>
      <c r="D58" s="14" t="n">
        <v>1806.3</v>
      </c>
      <c r="E58" s="14" t="n">
        <v>1785.8</v>
      </c>
      <c r="F58" s="14" t="n">
        <v>1802.2</v>
      </c>
      <c r="G58" s="9">
        <f>F58-F57</f>
        <v/>
      </c>
      <c r="H58" s="10">
        <f>IF(F57=0,0,G58/F57)</f>
        <v/>
      </c>
      <c r="I58" s="8">
        <f>D58-E58</f>
        <v/>
      </c>
      <c r="J58" s="4">
        <f>IF(F58&gt;C58,"Up",IF(F58&lt;C58,"Down","Flat"))</f>
        <v/>
      </c>
      <c r="K58" s="14" t="n">
        <v>22.14</v>
      </c>
      <c r="L58" s="15" t="n">
        <v>52.48</v>
      </c>
      <c r="M58" s="14" t="n">
        <v>1792.25</v>
      </c>
      <c r="N58" s="14" t="n">
        <v>1793.22</v>
      </c>
      <c r="O58" s="14" t="n"/>
      <c r="P58" s="4">
        <f>IF(O58="","",IF(F58&gt;O58,"Above","Below"))</f>
        <v/>
      </c>
      <c r="Q58" s="16" t="n">
        <v>110408</v>
      </c>
      <c r="R58" s="17" t="n">
        <v>0</v>
      </c>
      <c r="S58" s="17" t="n">
        <v>0</v>
      </c>
      <c r="T58" s="17" t="n">
        <v>0</v>
      </c>
      <c r="U58" s="18" t="n">
        <v>0</v>
      </c>
    </row>
    <row r="59">
      <c r="A59" s="13" t="n">
        <v>44553</v>
      </c>
      <c r="B59" s="4">
        <f>TEXT(A59,"ddd")</f>
        <v/>
      </c>
      <c r="C59" s="14" t="n">
        <v>1805.6</v>
      </c>
      <c r="D59" s="14" t="n">
        <v>1812</v>
      </c>
      <c r="E59" s="14" t="n">
        <v>1799</v>
      </c>
      <c r="F59" s="14" t="n">
        <v>1811.7</v>
      </c>
      <c r="G59" s="9">
        <f>F59-F58</f>
        <v/>
      </c>
      <c r="H59" s="10">
        <f>IF(F58=0,0,G59/F58)</f>
        <v/>
      </c>
      <c r="I59" s="8">
        <f>D59-E59</f>
        <v/>
      </c>
      <c r="J59" s="4">
        <f>IF(F59&gt;C59,"Up",IF(F59&lt;C59,"Down","Flat"))</f>
        <v/>
      </c>
      <c r="K59" s="14" t="n">
        <v>21.49</v>
      </c>
      <c r="L59" s="15" t="n">
        <v>55.36</v>
      </c>
      <c r="M59" s="14" t="n">
        <v>1794.11</v>
      </c>
      <c r="N59" s="14" t="n">
        <v>1793.95</v>
      </c>
      <c r="O59" s="14" t="n"/>
      <c r="P59" s="4">
        <f>IF(O59="","",IF(F59&gt;O59,"Above","Below"))</f>
        <v/>
      </c>
      <c r="Q59" s="16" t="n">
        <v>104844</v>
      </c>
      <c r="R59" s="17" t="n">
        <v>0</v>
      </c>
      <c r="S59" s="17" t="n">
        <v>0</v>
      </c>
      <c r="T59" s="17" t="n">
        <v>0</v>
      </c>
      <c r="U59" s="18" t="n">
        <v>0</v>
      </c>
    </row>
    <row r="60">
      <c r="A60" s="13" t="n">
        <v>44557</v>
      </c>
      <c r="B60" s="4">
        <f>TEXT(A60,"ddd")</f>
        <v/>
      </c>
      <c r="C60" s="14" t="n">
        <v>1810.2</v>
      </c>
      <c r="D60" s="14" t="n">
        <v>1814.6</v>
      </c>
      <c r="E60" s="14" t="n">
        <v>1803.6</v>
      </c>
      <c r="F60" s="14" t="n">
        <v>1808.8</v>
      </c>
      <c r="G60" s="9">
        <f>F60-F59</f>
        <v/>
      </c>
      <c r="H60" s="10">
        <f>IF(F59=0,0,G60/F59)</f>
        <v/>
      </c>
      <c r="I60" s="8">
        <f>D60-E60</f>
        <v/>
      </c>
      <c r="J60" s="4">
        <f>IF(F60&gt;C60,"Up",IF(F60&lt;C60,"Down","Flat"))</f>
        <v/>
      </c>
      <c r="K60" s="14" t="n">
        <v>20.74</v>
      </c>
      <c r="L60" s="15" t="n">
        <v>54.28</v>
      </c>
      <c r="M60" s="14" t="n">
        <v>1795.5</v>
      </c>
      <c r="N60" s="14" t="n">
        <v>1794.53</v>
      </c>
      <c r="O60" s="14" t="n"/>
      <c r="P60" s="4">
        <f>IF(O60="","",IF(F60&gt;O60,"Above","Below"))</f>
        <v/>
      </c>
      <c r="Q60" s="16" t="n">
        <v>84225</v>
      </c>
      <c r="R60" s="17" t="n">
        <v>0</v>
      </c>
      <c r="S60" s="17" t="n">
        <v>0</v>
      </c>
      <c r="T60" s="17" t="n">
        <v>0</v>
      </c>
      <c r="U60" s="18" t="n">
        <v>0</v>
      </c>
    </row>
    <row r="61">
      <c r="A61" s="13" t="n">
        <v>44558</v>
      </c>
      <c r="B61" s="4">
        <f>TEXT(A61,"ddd")</f>
        <v/>
      </c>
      <c r="C61" s="14" t="n">
        <v>1812.1</v>
      </c>
      <c r="D61" s="14" t="n">
        <v>1821.6</v>
      </c>
      <c r="E61" s="14" t="n">
        <v>1805.5</v>
      </c>
      <c r="F61" s="14" t="n">
        <v>1810.9</v>
      </c>
      <c r="G61" s="9">
        <f>F61-F60</f>
        <v/>
      </c>
      <c r="H61" s="10">
        <f>IF(F60=0,0,G61/F60)</f>
        <v/>
      </c>
      <c r="I61" s="8">
        <f>D61-E61</f>
        <v/>
      </c>
      <c r="J61" s="4">
        <f>IF(F61&gt;C61,"Up",IF(F61&lt;C61,"Down","Flat"))</f>
        <v/>
      </c>
      <c r="K61" s="14" t="n">
        <v>20.41</v>
      </c>
      <c r="L61" s="15" t="n">
        <v>54.96</v>
      </c>
      <c r="M61" s="14" t="n">
        <v>1796.97</v>
      </c>
      <c r="N61" s="14" t="n">
        <v>1795.17</v>
      </c>
      <c r="O61" s="14" t="n"/>
      <c r="P61" s="4">
        <f>IF(O61="","",IF(F61&gt;O61,"Above","Below"))</f>
        <v/>
      </c>
      <c r="Q61" s="16" t="n">
        <v>100542</v>
      </c>
      <c r="R61" s="17" t="n">
        <v>0</v>
      </c>
      <c r="S61" s="17" t="n">
        <v>0</v>
      </c>
      <c r="T61" s="17" t="n">
        <v>0</v>
      </c>
      <c r="U61" s="18" t="n">
        <v>0</v>
      </c>
    </row>
    <row r="62">
      <c r="A62" s="13" t="n">
        <v>44559</v>
      </c>
      <c r="B62" s="4">
        <f>TEXT(A62,"ddd")</f>
        <v/>
      </c>
      <c r="C62" s="14" t="n">
        <v>1806.6</v>
      </c>
      <c r="D62" s="14" t="n">
        <v>1808</v>
      </c>
      <c r="E62" s="14" t="n">
        <v>1789.1</v>
      </c>
      <c r="F62" s="14" t="n">
        <v>1805.8</v>
      </c>
      <c r="G62" s="9">
        <f>F62-F61</f>
        <v/>
      </c>
      <c r="H62" s="10">
        <f>IF(F61=0,0,G62/F61)</f>
        <v/>
      </c>
      <c r="I62" s="8">
        <f>D62-E62</f>
        <v/>
      </c>
      <c r="J62" s="4">
        <f>IF(F62&gt;C62,"Up",IF(F62&lt;C62,"Down","Flat"))</f>
        <v/>
      </c>
      <c r="K62" s="14" t="n">
        <v>20.51</v>
      </c>
      <c r="L62" s="15" t="n">
        <v>52.89</v>
      </c>
      <c r="M62" s="14" t="n">
        <v>1797.81</v>
      </c>
      <c r="N62" s="14" t="n">
        <v>1795.59</v>
      </c>
      <c r="O62" s="14" t="n"/>
      <c r="P62" s="4">
        <f>IF(O62="","",IF(F62&gt;O62,"Above","Below"))</f>
        <v/>
      </c>
      <c r="Q62" s="16" t="n">
        <v>138685</v>
      </c>
      <c r="R62" s="17" t="n">
        <v>0</v>
      </c>
      <c r="S62" s="17" t="n">
        <v>0</v>
      </c>
      <c r="T62" s="17" t="n">
        <v>0</v>
      </c>
      <c r="U62" s="18" t="n">
        <v>0</v>
      </c>
    </row>
    <row r="63">
      <c r="A63" s="13" t="n">
        <v>44560</v>
      </c>
      <c r="B63" s="4">
        <f>TEXT(A63,"ddd")</f>
        <v/>
      </c>
      <c r="C63" s="14" t="n">
        <v>1805.6</v>
      </c>
      <c r="D63" s="14" t="n">
        <v>1818.1</v>
      </c>
      <c r="E63" s="14" t="n">
        <v>1796.2</v>
      </c>
      <c r="F63" s="14" t="n">
        <v>1814.1</v>
      </c>
      <c r="G63" s="9">
        <f>F63-F62</f>
        <v/>
      </c>
      <c r="H63" s="10">
        <f>IF(F62=0,0,G63/F62)</f>
        <v/>
      </c>
      <c r="I63" s="8">
        <f>D63-E63</f>
        <v/>
      </c>
      <c r="J63" s="4">
        <f>IF(F63&gt;C63,"Up",IF(F63&lt;C63,"Down","Flat"))</f>
        <v/>
      </c>
      <c r="K63" s="14" t="n">
        <v>20.61</v>
      </c>
      <c r="L63" s="15" t="n">
        <v>55.81</v>
      </c>
      <c r="M63" s="14" t="n">
        <v>1799.36</v>
      </c>
      <c r="N63" s="14" t="n">
        <v>1796.32</v>
      </c>
      <c r="O63" s="14" t="n"/>
      <c r="P63" s="4">
        <f>IF(O63="","",IF(F63&gt;O63,"Above","Below"))</f>
        <v/>
      </c>
      <c r="Q63" s="16" t="n">
        <v>113430</v>
      </c>
      <c r="R63" s="17" t="n">
        <v>0</v>
      </c>
      <c r="S63" s="17" t="n">
        <v>0</v>
      </c>
      <c r="T63" s="17" t="n">
        <v>0</v>
      </c>
      <c r="U63" s="18" t="n">
        <v>0</v>
      </c>
    </row>
    <row r="64">
      <c r="A64" s="13" t="n">
        <v>44561</v>
      </c>
      <c r="B64" s="4">
        <f>TEXT(A64,"ddd")</f>
        <v/>
      </c>
      <c r="C64" s="14" t="n">
        <v>1817</v>
      </c>
      <c r="D64" s="14" t="n">
        <v>1831.4</v>
      </c>
      <c r="E64" s="14" t="n">
        <v>1815.4</v>
      </c>
      <c r="F64" s="14" t="n">
        <v>1828.6</v>
      </c>
      <c r="G64" s="9">
        <f>F64-F63</f>
        <v/>
      </c>
      <c r="H64" s="10">
        <f>IF(F63=0,0,G64/F63)</f>
        <v/>
      </c>
      <c r="I64" s="8">
        <f>D64-E64</f>
        <v/>
      </c>
      <c r="J64" s="4">
        <f>IF(F64&gt;C64,"Up",IF(F64&lt;C64,"Down","Flat"))</f>
        <v/>
      </c>
      <c r="K64" s="14" t="n">
        <v>20.37</v>
      </c>
      <c r="L64" s="15" t="n">
        <v>60.44</v>
      </c>
      <c r="M64" s="14" t="n">
        <v>1802.15</v>
      </c>
      <c r="N64" s="14" t="n">
        <v>1797.58</v>
      </c>
      <c r="O64" s="14" t="n"/>
      <c r="P64" s="4">
        <f>IF(O64="","",IF(F64&gt;O64,"Above","Below"))</f>
        <v/>
      </c>
      <c r="Q64" s="16" t="n">
        <v>106604</v>
      </c>
      <c r="R64" s="17" t="n">
        <v>0</v>
      </c>
      <c r="S64" s="17" t="n">
        <v>0</v>
      </c>
      <c r="T64" s="17" t="n">
        <v>0</v>
      </c>
      <c r="U64" s="18" t="n">
        <v>0</v>
      </c>
    </row>
    <row r="65">
      <c r="A65" s="13" t="n">
        <v>44564</v>
      </c>
      <c r="B65" s="4">
        <f>TEXT(A65,"ddd")</f>
        <v/>
      </c>
      <c r="C65" s="14" t="n">
        <v>1830.1</v>
      </c>
      <c r="D65" s="14" t="n">
        <v>1833</v>
      </c>
      <c r="E65" s="14" t="n">
        <v>1798.2</v>
      </c>
      <c r="F65" s="14" t="n">
        <v>1800.1</v>
      </c>
      <c r="G65" s="9">
        <f>F65-F64</f>
        <v/>
      </c>
      <c r="H65" s="10">
        <f>IF(F64=0,0,G65/F64)</f>
        <v/>
      </c>
      <c r="I65" s="8">
        <f>D65-E65</f>
        <v/>
      </c>
      <c r="J65" s="4">
        <f>IF(F65&gt;C65,"Up",IF(F65&lt;C65,"Down","Flat"))</f>
        <v/>
      </c>
      <c r="K65" s="14" t="n">
        <v>21.4</v>
      </c>
      <c r="L65" s="15" t="n">
        <v>49.48</v>
      </c>
      <c r="M65" s="14" t="n">
        <v>1801.95</v>
      </c>
      <c r="N65" s="14" t="n">
        <v>1797.68</v>
      </c>
      <c r="O65" s="14" t="n"/>
      <c r="P65" s="4">
        <f>IF(O65="","",IF(F65&gt;O65,"Above","Below"))</f>
        <v/>
      </c>
      <c r="Q65" s="16" t="n">
        <v>168305</v>
      </c>
      <c r="R65" s="17" t="n">
        <v>0</v>
      </c>
      <c r="S65" s="17" t="n">
        <v>0</v>
      </c>
      <c r="T65" s="17" t="n">
        <v>0</v>
      </c>
      <c r="U65" s="18" t="n">
        <v>0</v>
      </c>
    </row>
    <row r="66">
      <c r="A66" s="13" t="n">
        <v>44565</v>
      </c>
      <c r="B66" s="4">
        <f>TEXT(A66,"ddd")</f>
        <v/>
      </c>
      <c r="C66" s="14" t="n">
        <v>1801.1</v>
      </c>
      <c r="D66" s="14" t="n">
        <v>1817.2</v>
      </c>
      <c r="E66" s="14" t="n">
        <v>1798.1</v>
      </c>
      <c r="F66" s="14" t="n">
        <v>1814.6</v>
      </c>
      <c r="G66" s="9">
        <f>F66-F65</f>
        <v/>
      </c>
      <c r="H66" s="10">
        <f>IF(F65=0,0,G66/F65)</f>
        <v/>
      </c>
      <c r="I66" s="8">
        <f>D66-E66</f>
        <v/>
      </c>
      <c r="J66" s="4">
        <f>IF(F66&gt;C66,"Up",IF(F66&lt;C66,"Down","Flat"))</f>
        <v/>
      </c>
      <c r="K66" s="14" t="n">
        <v>21.24</v>
      </c>
      <c r="L66" s="15" t="n">
        <v>54.04</v>
      </c>
      <c r="M66" s="14" t="n">
        <v>1803.16</v>
      </c>
      <c r="N66" s="14" t="n">
        <v>1798.34</v>
      </c>
      <c r="O66" s="14" t="n"/>
      <c r="P66" s="4">
        <f>IF(O66="","",IF(F66&gt;O66,"Above","Below"))</f>
        <v/>
      </c>
      <c r="Q66" s="16" t="n">
        <v>167708</v>
      </c>
      <c r="R66" s="17" t="n">
        <v>0</v>
      </c>
      <c r="S66" s="17" t="n">
        <v>0</v>
      </c>
      <c r="T66" s="17" t="n">
        <v>0</v>
      </c>
      <c r="U66" s="18" t="n">
        <v>0</v>
      </c>
    </row>
    <row r="67">
      <c r="A67" s="13" t="n">
        <v>44566</v>
      </c>
      <c r="B67" s="4">
        <f>TEXT(A67,"ddd")</f>
        <v/>
      </c>
      <c r="C67" s="14" t="n">
        <v>1815.2</v>
      </c>
      <c r="D67" s="14" t="n">
        <v>1830.7</v>
      </c>
      <c r="E67" s="14" t="n">
        <v>1808.2</v>
      </c>
      <c r="F67" s="14" t="n">
        <v>1825.1</v>
      </c>
      <c r="G67" s="9">
        <f>F67-F66</f>
        <v/>
      </c>
      <c r="H67" s="10">
        <f>IF(F66=0,0,G67/F66)</f>
        <v/>
      </c>
      <c r="I67" s="8">
        <f>D67-E67</f>
        <v/>
      </c>
      <c r="J67" s="4">
        <f>IF(F67&gt;C67,"Up",IF(F67&lt;C67,"Down","Flat"))</f>
        <v/>
      </c>
      <c r="K67" s="14" t="n">
        <v>21.33</v>
      </c>
      <c r="L67" s="15" t="n">
        <v>57.07</v>
      </c>
      <c r="M67" s="14" t="n">
        <v>1805.25</v>
      </c>
      <c r="N67" s="14" t="n">
        <v>1799.39</v>
      </c>
      <c r="O67" s="14" t="n"/>
      <c r="P67" s="4">
        <f>IF(O67="","",IF(F67&gt;O67,"Above","Below"))</f>
        <v/>
      </c>
      <c r="Q67" s="16" t="n">
        <v>173344</v>
      </c>
      <c r="R67" s="17" t="n">
        <v>0</v>
      </c>
      <c r="S67" s="17" t="n">
        <v>0</v>
      </c>
      <c r="T67" s="17" t="n">
        <v>0</v>
      </c>
      <c r="U67" s="18" t="n">
        <v>0</v>
      </c>
    </row>
    <row r="68">
      <c r="A68" s="13" t="n">
        <v>44567</v>
      </c>
      <c r="B68" s="4">
        <f>TEXT(A68,"ddd")</f>
        <v/>
      </c>
      <c r="C68" s="14" t="n">
        <v>1810.6</v>
      </c>
      <c r="D68" s="14" t="n">
        <v>1811.6</v>
      </c>
      <c r="E68" s="14" t="n">
        <v>1785.4</v>
      </c>
      <c r="F68" s="14" t="n">
        <v>1789.2</v>
      </c>
      <c r="G68" s="9">
        <f>F68-F67</f>
        <v/>
      </c>
      <c r="H68" s="10">
        <f>IF(F67=0,0,G68/F67)</f>
        <v/>
      </c>
      <c r="I68" s="8">
        <f>D68-E68</f>
        <v/>
      </c>
      <c r="J68" s="4">
        <f>IF(F68&gt;C68,"Up",IF(F68&lt;C68,"Down","Flat"))</f>
        <v/>
      </c>
      <c r="K68" s="14" t="n">
        <v>22.64</v>
      </c>
      <c r="L68" s="15" t="n">
        <v>45.93</v>
      </c>
      <c r="M68" s="14" t="n">
        <v>1803.72</v>
      </c>
      <c r="N68" s="14" t="n">
        <v>1798.99</v>
      </c>
      <c r="O68" s="14" t="n"/>
      <c r="P68" s="4">
        <f>IF(O68="","",IF(F68&gt;O68,"Above","Below"))</f>
        <v/>
      </c>
      <c r="Q68" s="16" t="n">
        <v>238644</v>
      </c>
      <c r="R68" s="17" t="n">
        <v>0</v>
      </c>
      <c r="S68" s="17" t="n">
        <v>0</v>
      </c>
      <c r="T68" s="17" t="n">
        <v>0</v>
      </c>
      <c r="U68" s="18" t="n">
        <v>0</v>
      </c>
    </row>
    <row r="69">
      <c r="A69" s="13" t="n">
        <v>44568</v>
      </c>
      <c r="B69" s="4">
        <f>TEXT(A69,"ddd")</f>
        <v/>
      </c>
      <c r="C69" s="14" t="n">
        <v>1791</v>
      </c>
      <c r="D69" s="14" t="n">
        <v>1798.4</v>
      </c>
      <c r="E69" s="14" t="n">
        <v>1781.3</v>
      </c>
      <c r="F69" s="14" t="n">
        <v>1797.4</v>
      </c>
      <c r="G69" s="9">
        <f>F69-F68</f>
        <v/>
      </c>
      <c r="H69" s="10">
        <f>IF(F68=0,0,G69/F68)</f>
        <v/>
      </c>
      <c r="I69" s="8">
        <f>D69-E69</f>
        <v/>
      </c>
      <c r="J69" s="4">
        <f>IF(F69&gt;C69,"Up",IF(F69&lt;C69,"Down","Flat"))</f>
        <v/>
      </c>
      <c r="K69" s="14" t="n">
        <v>22.24</v>
      </c>
      <c r="L69" s="15" t="n">
        <v>48.41</v>
      </c>
      <c r="M69" s="14" t="n">
        <v>1803.12</v>
      </c>
      <c r="N69" s="14" t="n">
        <v>1798.93</v>
      </c>
      <c r="O69" s="14" t="n"/>
      <c r="P69" s="4">
        <f>IF(O69="","",IF(F69&gt;O69,"Above","Below"))</f>
        <v/>
      </c>
      <c r="Q69" s="16" t="n">
        <v>238931</v>
      </c>
      <c r="R69" s="17" t="n">
        <v>0</v>
      </c>
      <c r="S69" s="17" t="n">
        <v>0</v>
      </c>
      <c r="T69" s="17" t="n">
        <v>0</v>
      </c>
      <c r="U69" s="18" t="n">
        <v>0</v>
      </c>
    </row>
    <row r="70">
      <c r="A70" s="13" t="n">
        <v>44571</v>
      </c>
      <c r="B70" s="4">
        <f>TEXT(A70,"ddd")</f>
        <v/>
      </c>
      <c r="C70" s="14" t="n">
        <v>1796.4</v>
      </c>
      <c r="D70" s="14" t="n">
        <v>1802</v>
      </c>
      <c r="E70" s="14" t="n">
        <v>1789.3</v>
      </c>
      <c r="F70" s="14" t="n">
        <v>1798.8</v>
      </c>
      <c r="G70" s="9">
        <f>F70-F69</f>
        <v/>
      </c>
      <c r="H70" s="10">
        <f>IF(F69=0,0,G70/F69)</f>
        <v/>
      </c>
      <c r="I70" s="8">
        <f>D70-E70</f>
        <v/>
      </c>
      <c r="J70" s="4">
        <f>IF(F70&gt;C70,"Up",IF(F70&lt;C70,"Down","Flat"))</f>
        <v/>
      </c>
      <c r="K70" s="14" t="n">
        <v>21.56</v>
      </c>
      <c r="L70" s="15" t="n">
        <v>48.84</v>
      </c>
      <c r="M70" s="14" t="n">
        <v>1802.71</v>
      </c>
      <c r="N70" s="14" t="n">
        <v>1798.93</v>
      </c>
      <c r="O70" s="14" t="n"/>
      <c r="P70" s="4">
        <f>IF(O70="","",IF(F70&gt;O70,"Above","Below"))</f>
        <v/>
      </c>
      <c r="Q70" s="16" t="n">
        <v>173043</v>
      </c>
      <c r="R70" s="17" t="n">
        <v>0</v>
      </c>
      <c r="S70" s="17" t="n">
        <v>0</v>
      </c>
      <c r="T70" s="17" t="n">
        <v>0</v>
      </c>
      <c r="U70" s="18" t="n">
        <v>0</v>
      </c>
    </row>
    <row r="71">
      <c r="A71" s="13" t="n">
        <v>44572</v>
      </c>
      <c r="B71" s="4">
        <f>TEXT(A71,"ddd")</f>
        <v/>
      </c>
      <c r="C71" s="14" t="n">
        <v>1801.3</v>
      </c>
      <c r="D71" s="14" t="n">
        <v>1823.1</v>
      </c>
      <c r="E71" s="14" t="n">
        <v>1799.7</v>
      </c>
      <c r="F71" s="14" t="n">
        <v>1818.5</v>
      </c>
      <c r="G71" s="9">
        <f>F71-F70</f>
        <v/>
      </c>
      <c r="H71" s="10">
        <f>IF(F70=0,0,G71/F70)</f>
        <v/>
      </c>
      <c r="I71" s="8">
        <f>D71-E71</f>
        <v/>
      </c>
      <c r="J71" s="4">
        <f>IF(F71&gt;C71,"Up",IF(F71&lt;C71,"Down","Flat"))</f>
        <v/>
      </c>
      <c r="K71" s="14" t="n">
        <v>21.76</v>
      </c>
      <c r="L71" s="15" t="n">
        <v>54.59</v>
      </c>
      <c r="M71" s="14" t="n">
        <v>1804.21</v>
      </c>
      <c r="N71" s="14" t="n">
        <v>1799.69</v>
      </c>
      <c r="O71" s="14" t="n"/>
      <c r="P71" s="4">
        <f>IF(O71="","",IF(F71&gt;O71,"Above","Below"))</f>
        <v/>
      </c>
      <c r="Q71" s="16" t="n">
        <v>184152</v>
      </c>
      <c r="R71" s="17" t="n">
        <v>0</v>
      </c>
      <c r="S71" s="17" t="n">
        <v>0</v>
      </c>
      <c r="T71" s="17" t="n">
        <v>0</v>
      </c>
      <c r="U71" s="18" t="n">
        <v>0</v>
      </c>
    </row>
    <row r="72">
      <c r="A72" s="13" t="n">
        <v>44573</v>
      </c>
      <c r="B72" s="4">
        <f>TEXT(A72,"ddd")</f>
        <v/>
      </c>
      <c r="C72" s="14" t="n">
        <v>1821.3</v>
      </c>
      <c r="D72" s="14" t="n">
        <v>1828.2</v>
      </c>
      <c r="E72" s="14" t="n">
        <v>1814.4</v>
      </c>
      <c r="F72" s="14" t="n">
        <v>1827.3</v>
      </c>
      <c r="G72" s="9">
        <f>F72-F71</f>
        <v/>
      </c>
      <c r="H72" s="10">
        <f>IF(F71=0,0,G72/F71)</f>
        <v/>
      </c>
      <c r="I72" s="8">
        <f>D72-E72</f>
        <v/>
      </c>
      <c r="J72" s="4">
        <f>IF(F72&gt;C72,"Up",IF(F72&lt;C72,"Down","Flat"))</f>
        <v/>
      </c>
      <c r="K72" s="14" t="n">
        <v>21.19</v>
      </c>
      <c r="L72" s="15" t="n">
        <v>56.92</v>
      </c>
      <c r="M72" s="14" t="n">
        <v>1806.41</v>
      </c>
      <c r="N72" s="14" t="n">
        <v>1800.78</v>
      </c>
      <c r="O72" s="14" t="n"/>
      <c r="P72" s="4">
        <f>IF(O72="","",IF(F72&gt;O72,"Above","Below"))</f>
        <v/>
      </c>
      <c r="Q72" s="16" t="n">
        <v>192979</v>
      </c>
      <c r="R72" s="17" t="n">
        <v>0</v>
      </c>
      <c r="S72" s="17" t="n">
        <v>0</v>
      </c>
      <c r="T72" s="17" t="n">
        <v>0</v>
      </c>
      <c r="U72" s="18" t="n">
        <v>0</v>
      </c>
    </row>
    <row r="73">
      <c r="A73" s="13" t="n">
        <v>44574</v>
      </c>
      <c r="B73" s="4">
        <f>TEXT(A73,"ddd")</f>
        <v/>
      </c>
      <c r="C73" s="14" t="n">
        <v>1825.7</v>
      </c>
      <c r="D73" s="14" t="n">
        <v>1828.3</v>
      </c>
      <c r="E73" s="14" t="n">
        <v>1811.8</v>
      </c>
      <c r="F73" s="14" t="n">
        <v>1821.4</v>
      </c>
      <c r="G73" s="9">
        <f>F73-F72</f>
        <v/>
      </c>
      <c r="H73" s="10">
        <f>IF(F72=0,0,G73/F72)</f>
        <v/>
      </c>
      <c r="I73" s="8">
        <f>D73-E73</f>
        <v/>
      </c>
      <c r="J73" s="4">
        <f>IF(F73&gt;C73,"Up",IF(F73&lt;C73,"Down","Flat"))</f>
        <v/>
      </c>
      <c r="K73" s="14" t="n">
        <v>20.85</v>
      </c>
      <c r="L73" s="15" t="n">
        <v>54.88</v>
      </c>
      <c r="M73" s="14" t="n">
        <v>1807.84</v>
      </c>
      <c r="N73" s="14" t="n">
        <v>1801.58</v>
      </c>
      <c r="O73" s="14" t="n"/>
      <c r="P73" s="4">
        <f>IF(O73="","",IF(F73&gt;O73,"Above","Below"))</f>
        <v/>
      </c>
      <c r="Q73" s="16" t="n">
        <v>215522</v>
      </c>
      <c r="R73" s="17" t="n">
        <v>0</v>
      </c>
      <c r="S73" s="17" t="n">
        <v>0</v>
      </c>
      <c r="T73" s="17" t="n">
        <v>0</v>
      </c>
      <c r="U73" s="18" t="n">
        <v>0</v>
      </c>
    </row>
    <row r="74">
      <c r="A74" s="13" t="n">
        <v>44575</v>
      </c>
      <c r="B74" s="4">
        <f>TEXT(A74,"ddd")</f>
        <v/>
      </c>
      <c r="C74" s="14" t="n">
        <v>1822.1</v>
      </c>
      <c r="D74" s="14" t="n">
        <v>1829.3</v>
      </c>
      <c r="E74" s="14" t="n">
        <v>1814.2</v>
      </c>
      <c r="F74" s="14" t="n">
        <v>1816.5</v>
      </c>
      <c r="G74" s="9">
        <f>F74-F73</f>
        <v/>
      </c>
      <c r="H74" s="10">
        <f>IF(F73=0,0,G74/F73)</f>
        <v/>
      </c>
      <c r="I74" s="8">
        <f>D74-E74</f>
        <v/>
      </c>
      <c r="J74" s="4">
        <f>IF(F74&gt;C74,"Up",IF(F74&lt;C74,"Down","Flat"))</f>
        <v/>
      </c>
      <c r="K74" s="14" t="n">
        <v>20.44</v>
      </c>
      <c r="L74" s="15" t="n">
        <v>53.19</v>
      </c>
      <c r="M74" s="14" t="n">
        <v>1808.66</v>
      </c>
      <c r="N74" s="14" t="n">
        <v>1802.17</v>
      </c>
      <c r="O74" s="14" t="n"/>
      <c r="P74" s="4">
        <f>IF(O74="","",IF(F74&gt;O74,"Above","Below"))</f>
        <v/>
      </c>
      <c r="Q74" s="16" t="n">
        <v>174944</v>
      </c>
      <c r="R74" s="17" t="n">
        <v>0</v>
      </c>
      <c r="S74" s="17" t="n">
        <v>0</v>
      </c>
      <c r="T74" s="17" t="n">
        <v>0</v>
      </c>
      <c r="U74" s="18" t="n">
        <v>0</v>
      </c>
    </row>
    <row r="75">
      <c r="A75" s="13" t="n">
        <v>44579</v>
      </c>
      <c r="B75" s="4">
        <f>TEXT(A75,"ddd")</f>
        <v/>
      </c>
      <c r="C75" s="14" t="n">
        <v>1818.7</v>
      </c>
      <c r="D75" s="14" t="n">
        <v>1822.9</v>
      </c>
      <c r="E75" s="14" t="n">
        <v>1804.7</v>
      </c>
      <c r="F75" s="14" t="n">
        <v>1812.4</v>
      </c>
      <c r="G75" s="9">
        <f>F75-F74</f>
        <v/>
      </c>
      <c r="H75" s="10">
        <f>IF(F74=0,0,G75/F74)</f>
        <v/>
      </c>
      <c r="I75" s="8">
        <f>D75-E75</f>
        <v/>
      </c>
      <c r="J75" s="4">
        <f>IF(F75&gt;C75,"Up",IF(F75&lt;C75,"Down","Flat"))</f>
        <v/>
      </c>
      <c r="K75" s="14" t="n">
        <v>20.28</v>
      </c>
      <c r="L75" s="15" t="n">
        <v>51.74</v>
      </c>
      <c r="M75" s="14" t="n">
        <v>1809.02</v>
      </c>
      <c r="N75" s="14" t="n">
        <v>1802.57</v>
      </c>
      <c r="O75" s="14" t="n"/>
      <c r="P75" s="4">
        <f>IF(O75="","",IF(F75&gt;O75,"Above","Below"))</f>
        <v/>
      </c>
      <c r="Q75" s="16" t="n">
        <v>362944</v>
      </c>
      <c r="R75" s="17" t="n">
        <v>0</v>
      </c>
      <c r="S75" s="17" t="n">
        <v>0</v>
      </c>
      <c r="T75" s="17" t="n">
        <v>0</v>
      </c>
      <c r="U75" s="18" t="n">
        <v>0</v>
      </c>
    </row>
    <row r="76">
      <c r="A76" s="13" t="n">
        <v>44580</v>
      </c>
      <c r="B76" s="4">
        <f>TEXT(A76,"ddd")</f>
        <v/>
      </c>
      <c r="C76" s="14" t="n">
        <v>1812.9</v>
      </c>
      <c r="D76" s="14" t="n">
        <v>1843.9</v>
      </c>
      <c r="E76" s="14" t="n">
        <v>1809</v>
      </c>
      <c r="F76" s="14" t="n">
        <v>1843.2</v>
      </c>
      <c r="G76" s="9">
        <f>F76-F75</f>
        <v/>
      </c>
      <c r="H76" s="10">
        <f>IF(F75=0,0,G76/F75)</f>
        <v/>
      </c>
      <c r="I76" s="8">
        <f>D76-E76</f>
        <v/>
      </c>
      <c r="J76" s="4">
        <f>IF(F76&gt;C76,"Up",IF(F76&lt;C76,"Down","Flat"))</f>
        <v/>
      </c>
      <c r="K76" s="14" t="n">
        <v>21.33</v>
      </c>
      <c r="L76" s="15" t="n">
        <v>60.43</v>
      </c>
      <c r="M76" s="14" t="n">
        <v>1812.27</v>
      </c>
      <c r="N76" s="14" t="n">
        <v>1804.16</v>
      </c>
      <c r="O76" s="14" t="n"/>
      <c r="P76" s="4">
        <f>IF(O76="","",IF(F76&gt;O76,"Above","Below"))</f>
        <v/>
      </c>
      <c r="Q76" s="16" t="n">
        <v>318489</v>
      </c>
      <c r="R76" s="17" t="n">
        <v>0</v>
      </c>
      <c r="S76" s="17" t="n">
        <v>0</v>
      </c>
      <c r="T76" s="17" t="n">
        <v>0</v>
      </c>
      <c r="U76" s="18" t="n">
        <v>0</v>
      </c>
    </row>
    <row r="77">
      <c r="A77" s="13" t="n">
        <v>44581</v>
      </c>
      <c r="B77" s="4">
        <f>TEXT(A77,"ddd")</f>
        <v/>
      </c>
      <c r="C77" s="14" t="n">
        <v>1840.1</v>
      </c>
      <c r="D77" s="14" t="n">
        <v>1848.5</v>
      </c>
      <c r="E77" s="14" t="n">
        <v>1836.2</v>
      </c>
      <c r="F77" s="14" t="n">
        <v>1842.6</v>
      </c>
      <c r="G77" s="9">
        <f>F77-F76</f>
        <v/>
      </c>
      <c r="H77" s="10">
        <f>IF(F76=0,0,G77/F76)</f>
        <v/>
      </c>
      <c r="I77" s="8">
        <f>D77-E77</f>
        <v/>
      </c>
      <c r="J77" s="4">
        <f>IF(F77&gt;C77,"Up",IF(F77&lt;C77,"Down","Flat"))</f>
        <v/>
      </c>
      <c r="K77" s="14" t="n">
        <v>20.68</v>
      </c>
      <c r="L77" s="15" t="n">
        <v>60.2</v>
      </c>
      <c r="M77" s="14" t="n">
        <v>1815.16</v>
      </c>
      <c r="N77" s="14" t="n">
        <v>1805.67</v>
      </c>
      <c r="O77" s="14" t="n"/>
      <c r="P77" s="4">
        <f>IF(O77="","",IF(F77&gt;O77,"Above","Below"))</f>
        <v/>
      </c>
      <c r="Q77" s="16" t="n">
        <v>233862</v>
      </c>
      <c r="R77" s="17" t="n">
        <v>0</v>
      </c>
      <c r="S77" s="17" t="n">
        <v>0</v>
      </c>
      <c r="T77" s="17" t="n">
        <v>0</v>
      </c>
      <c r="U77" s="18" t="n">
        <v>0</v>
      </c>
    </row>
    <row r="78">
      <c r="A78" s="13" t="n">
        <v>44582</v>
      </c>
      <c r="B78" s="4">
        <f>TEXT(A78,"ddd")</f>
        <v/>
      </c>
      <c r="C78" s="14" t="n">
        <v>1840.6</v>
      </c>
      <c r="D78" s="14" t="n">
        <v>1843.7</v>
      </c>
      <c r="E78" s="14" t="n">
        <v>1828.4</v>
      </c>
      <c r="F78" s="14" t="n">
        <v>1831.8</v>
      </c>
      <c r="G78" s="9">
        <f>F78-F77</f>
        <v/>
      </c>
      <c r="H78" s="10">
        <f>IF(F77=0,0,G78/F77)</f>
        <v/>
      </c>
      <c r="I78" s="8">
        <f>D78-E78</f>
        <v/>
      </c>
      <c r="J78" s="4">
        <f>IF(F78&gt;C78,"Up",IF(F78&lt;C78,"Down","Flat"))</f>
        <v/>
      </c>
      <c r="K78" s="14" t="n">
        <v>20.3</v>
      </c>
      <c r="L78" s="15" t="n">
        <v>56.11</v>
      </c>
      <c r="M78" s="14" t="n">
        <v>1816.75</v>
      </c>
      <c r="N78" s="14" t="n">
        <v>1806.7</v>
      </c>
      <c r="O78" s="14" t="n"/>
      <c r="P78" s="4">
        <f>IF(O78="","",IF(F78&gt;O78,"Above","Below"))</f>
        <v/>
      </c>
      <c r="Q78" s="16" t="n">
        <v>225249</v>
      </c>
      <c r="R78" s="17" t="n">
        <v>0</v>
      </c>
      <c r="S78" s="17" t="n">
        <v>0</v>
      </c>
      <c r="T78" s="17" t="n">
        <v>0</v>
      </c>
      <c r="U78" s="18" t="n">
        <v>0</v>
      </c>
    </row>
    <row r="79">
      <c r="A79" s="13" t="n">
        <v>44585</v>
      </c>
      <c r="B79" s="4">
        <f>TEXT(A79,"ddd")</f>
        <v/>
      </c>
      <c r="C79" s="14" t="n">
        <v>1835.2</v>
      </c>
      <c r="D79" s="14" t="n">
        <v>1844.9</v>
      </c>
      <c r="E79" s="14" t="n">
        <v>1829.3</v>
      </c>
      <c r="F79" s="14" t="n">
        <v>1841.7</v>
      </c>
      <c r="G79" s="9">
        <f>F79-F78</f>
        <v/>
      </c>
      <c r="H79" s="10">
        <f>IF(F78=0,0,G79/F78)</f>
        <v/>
      </c>
      <c r="I79" s="8">
        <f>D79-E79</f>
        <v/>
      </c>
      <c r="J79" s="4">
        <f>IF(F79&gt;C79,"Up",IF(F79&lt;C79,"Down","Flat"))</f>
        <v/>
      </c>
      <c r="K79" s="14" t="n">
        <v>19.96</v>
      </c>
      <c r="L79" s="15" t="n">
        <v>58.87</v>
      </c>
      <c r="M79" s="14" t="n">
        <v>1819.12</v>
      </c>
      <c r="N79" s="14" t="n">
        <v>1808.07</v>
      </c>
      <c r="O79" s="14" t="n"/>
      <c r="P79" s="4">
        <f>IF(O79="","",IF(F79&gt;O79,"Above","Below"))</f>
        <v/>
      </c>
      <c r="Q79" s="16" t="n">
        <v>244325</v>
      </c>
      <c r="R79" s="17" t="n">
        <v>0</v>
      </c>
      <c r="S79" s="17" t="n">
        <v>0</v>
      </c>
      <c r="T79" s="17" t="n">
        <v>0</v>
      </c>
      <c r="U79" s="18" t="n">
        <v>0</v>
      </c>
    </row>
    <row r="80">
      <c r="A80" s="13" t="n">
        <v>44586</v>
      </c>
      <c r="B80" s="4">
        <f>TEXT(A80,"ddd")</f>
        <v/>
      </c>
      <c r="C80" s="14" t="n">
        <v>1843.6</v>
      </c>
      <c r="D80" s="14" t="n">
        <v>1854.2</v>
      </c>
      <c r="E80" s="14" t="n">
        <v>1834.4</v>
      </c>
      <c r="F80" s="14" t="n">
        <v>1852.5</v>
      </c>
      <c r="G80" s="9">
        <f>F80-F79</f>
        <v/>
      </c>
      <c r="H80" s="10">
        <f>IF(F79=0,0,G80/F79)</f>
        <v/>
      </c>
      <c r="I80" s="8">
        <f>D80-E80</f>
        <v/>
      </c>
      <c r="J80" s="4">
        <f>IF(F80&gt;C80,"Up",IF(F80&lt;C80,"Down","Flat"))</f>
        <v/>
      </c>
      <c r="K80" s="14" t="n">
        <v>19.95</v>
      </c>
      <c r="L80" s="15" t="n">
        <v>61.7</v>
      </c>
      <c r="M80" s="14" t="n">
        <v>1822.3</v>
      </c>
      <c r="N80" s="14" t="n">
        <v>1809.81</v>
      </c>
      <c r="O80" s="14" t="n"/>
      <c r="P80" s="4">
        <f>IF(O80="","",IF(F80&gt;O80,"Above","Below"))</f>
        <v/>
      </c>
      <c r="Q80" s="16" t="n">
        <v>197804</v>
      </c>
      <c r="R80" s="17" t="n">
        <v>0</v>
      </c>
      <c r="S80" s="17" t="n">
        <v>0</v>
      </c>
      <c r="T80" s="17" t="n">
        <v>0</v>
      </c>
      <c r="U80" s="18" t="n">
        <v>0</v>
      </c>
    </row>
    <row r="81">
      <c r="A81" s="13" t="n">
        <v>44587</v>
      </c>
      <c r="B81" s="4">
        <f>TEXT(A81,"ddd")</f>
        <v/>
      </c>
      <c r="C81" s="14" t="n">
        <v>1848</v>
      </c>
      <c r="D81" s="14" t="n">
        <v>1850.2</v>
      </c>
      <c r="E81" s="14" t="n">
        <v>1814.1</v>
      </c>
      <c r="F81" s="14" t="n">
        <v>1829.7</v>
      </c>
      <c r="G81" s="9">
        <f>F81-F80</f>
        <v/>
      </c>
      <c r="H81" s="10">
        <f>IF(F80=0,0,G81/F80)</f>
        <v/>
      </c>
      <c r="I81" s="8">
        <f>D81-E81</f>
        <v/>
      </c>
      <c r="J81" s="4">
        <f>IF(F81&gt;C81,"Up",IF(F81&lt;C81,"Down","Flat"))</f>
        <v/>
      </c>
      <c r="K81" s="14" t="n">
        <v>21.27</v>
      </c>
      <c r="L81" s="15" t="n">
        <v>53.35</v>
      </c>
      <c r="M81" s="14" t="n">
        <v>1823.01</v>
      </c>
      <c r="N81" s="14" t="n">
        <v>1810.59</v>
      </c>
      <c r="O81" s="14" t="n"/>
      <c r="P81" s="4">
        <f>IF(O81="","",IF(F81&gt;O81,"Above","Below"))</f>
        <v/>
      </c>
      <c r="Q81" s="16" t="n">
        <v>270028</v>
      </c>
      <c r="R81" s="17" t="n">
        <v>0</v>
      </c>
      <c r="S81" s="17" t="n">
        <v>0</v>
      </c>
      <c r="T81" s="17" t="n">
        <v>0</v>
      </c>
      <c r="U81" s="18" t="n">
        <v>0</v>
      </c>
    </row>
    <row r="82">
      <c r="A82" s="13" t="n">
        <v>44588</v>
      </c>
      <c r="B82" s="4">
        <f>TEXT(A82,"ddd")</f>
        <v/>
      </c>
      <c r="C82" s="14" t="n">
        <v>1819</v>
      </c>
      <c r="D82" s="14" t="n">
        <v>1821.4</v>
      </c>
      <c r="E82" s="14" t="n">
        <v>1790.6</v>
      </c>
      <c r="F82" s="14" t="n">
        <v>1793.1</v>
      </c>
      <c r="G82" s="9">
        <f>F82-F81</f>
        <v/>
      </c>
      <c r="H82" s="10">
        <f>IF(F81=0,0,G82/F81)</f>
        <v/>
      </c>
      <c r="I82" s="8">
        <f>D82-E82</f>
        <v/>
      </c>
      <c r="J82" s="4">
        <f>IF(F82&gt;C82,"Up",IF(F82&lt;C82,"Down","Flat"))</f>
        <v/>
      </c>
      <c r="K82" s="14" t="n">
        <v>22.54</v>
      </c>
      <c r="L82" s="15" t="n">
        <v>43.25</v>
      </c>
      <c r="M82" s="14" t="n">
        <v>1820.16</v>
      </c>
      <c r="N82" s="14" t="n">
        <v>1809.91</v>
      </c>
      <c r="O82" s="14" t="n"/>
      <c r="P82" s="4">
        <f>IF(O82="","",IF(F82&gt;O82,"Above","Below"))</f>
        <v/>
      </c>
      <c r="Q82" s="16" t="n">
        <v>196036</v>
      </c>
      <c r="R82" s="17" t="n">
        <v>0</v>
      </c>
      <c r="S82" s="17" t="n">
        <v>0</v>
      </c>
      <c r="T82" s="17" t="n">
        <v>0</v>
      </c>
      <c r="U82" s="18" t="n">
        <v>0</v>
      </c>
    </row>
    <row r="83">
      <c r="A83" s="13" t="n">
        <v>44589</v>
      </c>
      <c r="B83" s="4">
        <f>TEXT(A83,"ddd")</f>
        <v/>
      </c>
      <c r="C83" s="14" t="n">
        <v>1797.5</v>
      </c>
      <c r="D83" s="14" t="n">
        <v>1798.4</v>
      </c>
      <c r="E83" s="14" t="n">
        <v>1778.8</v>
      </c>
      <c r="F83" s="14" t="n">
        <v>1784.9</v>
      </c>
      <c r="G83" s="9">
        <f>F83-F82</f>
        <v/>
      </c>
      <c r="H83" s="10">
        <f>IF(F82=0,0,G83/F82)</f>
        <v/>
      </c>
      <c r="I83" s="8">
        <f>D83-E83</f>
        <v/>
      </c>
      <c r="J83" s="4">
        <f>IF(F83&gt;C83,"Up",IF(F83&lt;C83,"Down","Flat"))</f>
        <v/>
      </c>
      <c r="K83" s="14" t="n">
        <v>22.33</v>
      </c>
      <c r="L83" s="15" t="n">
        <v>41.35</v>
      </c>
      <c r="M83" s="14" t="n">
        <v>1816.8</v>
      </c>
      <c r="N83" s="14" t="n">
        <v>1808.92</v>
      </c>
      <c r="O83" s="14" t="n"/>
      <c r="P83" s="4">
        <f>IF(O83="","",IF(F83&gt;O83,"Above","Below"))</f>
        <v/>
      </c>
      <c r="Q83" s="16" t="n">
        <v>28521</v>
      </c>
      <c r="R83" s="17" t="n">
        <v>0</v>
      </c>
      <c r="S83" s="17" t="n">
        <v>0</v>
      </c>
      <c r="T83" s="17" t="n">
        <v>0</v>
      </c>
      <c r="U83" s="18" t="n">
        <v>0</v>
      </c>
    </row>
    <row r="84">
      <c r="A84" s="13" t="n">
        <v>44592</v>
      </c>
      <c r="B84" s="4">
        <f>TEXT(A84,"ddd")</f>
        <v/>
      </c>
      <c r="C84" s="14" t="n">
        <v>1788.5</v>
      </c>
      <c r="D84" s="14" t="n">
        <v>1798.5</v>
      </c>
      <c r="E84" s="14" t="n">
        <v>1785.1</v>
      </c>
      <c r="F84" s="14" t="n">
        <v>1795</v>
      </c>
      <c r="G84" s="9">
        <f>F84-F83</f>
        <v/>
      </c>
      <c r="H84" s="10">
        <f>IF(F83=0,0,G84/F83)</f>
        <v/>
      </c>
      <c r="I84" s="8">
        <f>D84-E84</f>
        <v/>
      </c>
      <c r="J84" s="4">
        <f>IF(F84&gt;C84,"Up",IF(F84&lt;C84,"Down","Flat"))</f>
        <v/>
      </c>
      <c r="K84" s="14" t="n">
        <v>21.71</v>
      </c>
      <c r="L84" s="15" t="n">
        <v>44.57</v>
      </c>
      <c r="M84" s="14" t="n">
        <v>1814.72</v>
      </c>
      <c r="N84" s="14" t="n">
        <v>1808.38</v>
      </c>
      <c r="O84" s="14" t="n"/>
      <c r="P84" s="4">
        <f>IF(O84="","",IF(F84&gt;O84,"Above","Below"))</f>
        <v/>
      </c>
      <c r="Q84" s="16" t="n">
        <v>139421</v>
      </c>
      <c r="R84" s="17" t="n">
        <v>0</v>
      </c>
      <c r="S84" s="17" t="n">
        <v>0</v>
      </c>
      <c r="T84" s="17" t="n">
        <v>0</v>
      </c>
      <c r="U84" s="18" t="n">
        <v>0</v>
      </c>
    </row>
    <row r="85">
      <c r="A85" s="13" t="n">
        <v>44593</v>
      </c>
      <c r="B85" s="4">
        <f>TEXT(A85,"ddd")</f>
        <v/>
      </c>
      <c r="C85" s="14" t="n">
        <v>1798.9</v>
      </c>
      <c r="D85" s="14" t="n">
        <v>1809.7</v>
      </c>
      <c r="E85" s="14" t="n">
        <v>1796.2</v>
      </c>
      <c r="F85" s="14" t="n">
        <v>1801.5</v>
      </c>
      <c r="G85" s="9">
        <f>F85-F84</f>
        <v/>
      </c>
      <c r="H85" s="10">
        <f>IF(F84=0,0,G85/F84)</f>
        <v/>
      </c>
      <c r="I85" s="8">
        <f>D85-E85</f>
        <v/>
      </c>
      <c r="J85" s="4">
        <f>IF(F85&gt;C85,"Up",IF(F85&lt;C85,"Down","Flat"))</f>
        <v/>
      </c>
      <c r="K85" s="14" t="n">
        <v>21.21</v>
      </c>
      <c r="L85" s="15" t="n">
        <v>46.6</v>
      </c>
      <c r="M85" s="14" t="n">
        <v>1813.46</v>
      </c>
      <c r="N85" s="14" t="n">
        <v>1808.11</v>
      </c>
      <c r="O85" s="14" t="n"/>
      <c r="P85" s="4">
        <f>IF(O85="","",IF(F85&gt;O85,"Above","Below"))</f>
        <v/>
      </c>
      <c r="Q85" s="16" t="n">
        <v>128880</v>
      </c>
      <c r="R85" s="17" t="n">
        <v>0</v>
      </c>
      <c r="S85" s="17" t="n">
        <v>0</v>
      </c>
      <c r="T85" s="17" t="n">
        <v>0</v>
      </c>
      <c r="U85" s="18" t="n">
        <v>0</v>
      </c>
    </row>
    <row r="86">
      <c r="A86" s="13" t="n">
        <v>44594</v>
      </c>
      <c r="B86" s="4">
        <f>TEXT(A86,"ddd")</f>
        <v/>
      </c>
      <c r="C86" s="14" t="n">
        <v>1800.8</v>
      </c>
      <c r="D86" s="14" t="n">
        <v>1812</v>
      </c>
      <c r="E86" s="14" t="n">
        <v>1794.6</v>
      </c>
      <c r="F86" s="14" t="n">
        <v>1810.3</v>
      </c>
      <c r="G86" s="9">
        <f>F86-F85</f>
        <v/>
      </c>
      <c r="H86" s="10">
        <f>IF(F85=0,0,G86/F85)</f>
        <v/>
      </c>
      <c r="I86" s="8">
        <f>D86-E86</f>
        <v/>
      </c>
      <c r="J86" s="4">
        <f>IF(F86&gt;C86,"Up",IF(F86&lt;C86,"Down","Flat"))</f>
        <v/>
      </c>
      <c r="K86" s="14" t="n">
        <v>20.94</v>
      </c>
      <c r="L86" s="15" t="n">
        <v>49.3</v>
      </c>
      <c r="M86" s="14" t="n">
        <v>1813.16</v>
      </c>
      <c r="N86" s="14" t="n">
        <v>1808.19</v>
      </c>
      <c r="O86" s="14" t="n"/>
      <c r="P86" s="4">
        <f>IF(O86="","",IF(F86&gt;O86,"Above","Below"))</f>
        <v/>
      </c>
      <c r="Q86" s="16" t="n">
        <v>123021</v>
      </c>
      <c r="R86" s="17" t="n">
        <v>0</v>
      </c>
      <c r="S86" s="17" t="n">
        <v>0</v>
      </c>
      <c r="T86" s="17" t="n">
        <v>0</v>
      </c>
      <c r="U86" s="18" t="n">
        <v>0</v>
      </c>
    </row>
    <row r="87">
      <c r="A87" s="13" t="n">
        <v>44595</v>
      </c>
      <c r="B87" s="4">
        <f>TEXT(A87,"ddd")</f>
        <v/>
      </c>
      <c r="C87" s="14" t="n">
        <v>1807.4</v>
      </c>
      <c r="D87" s="14" t="n">
        <v>1809.5</v>
      </c>
      <c r="E87" s="14" t="n">
        <v>1788.5</v>
      </c>
      <c r="F87" s="14" t="n">
        <v>1804.1</v>
      </c>
      <c r="G87" s="9">
        <f>F87-F86</f>
        <v/>
      </c>
      <c r="H87" s="10">
        <f>IF(F86=0,0,G87/F86)</f>
        <v/>
      </c>
      <c r="I87" s="8">
        <f>D87-E87</f>
        <v/>
      </c>
      <c r="J87" s="4">
        <f>IF(F87&gt;C87,"Up",IF(F87&lt;C87,"Down","Flat"))</f>
        <v/>
      </c>
      <c r="K87" s="14" t="n">
        <v>21</v>
      </c>
      <c r="L87" s="15" t="n">
        <v>47.48</v>
      </c>
      <c r="M87" s="14" t="n">
        <v>1812.3</v>
      </c>
      <c r="N87" s="14" t="n">
        <v>1808.03</v>
      </c>
      <c r="O87" s="14" t="n"/>
      <c r="P87" s="4">
        <f>IF(O87="","",IF(F87&gt;O87,"Above","Below"))</f>
        <v/>
      </c>
      <c r="Q87" s="16" t="n">
        <v>173722</v>
      </c>
      <c r="R87" s="17" t="n">
        <v>0</v>
      </c>
      <c r="S87" s="17" t="n">
        <v>0</v>
      </c>
      <c r="T87" s="17" t="n">
        <v>0</v>
      </c>
      <c r="U87" s="18" t="n">
        <v>0</v>
      </c>
    </row>
    <row r="88">
      <c r="A88" s="13" t="n">
        <v>44596</v>
      </c>
      <c r="B88" s="4">
        <f>TEXT(A88,"ddd")</f>
        <v/>
      </c>
      <c r="C88" s="14" t="n">
        <v>1805.4</v>
      </c>
      <c r="D88" s="14" t="n">
        <v>1815.8</v>
      </c>
      <c r="E88" s="14" t="n">
        <v>1792.1</v>
      </c>
      <c r="F88" s="14" t="n">
        <v>1807.8</v>
      </c>
      <c r="G88" s="9">
        <f>F88-F87</f>
        <v/>
      </c>
      <c r="H88" s="10">
        <f>IF(F87=0,0,G88/F87)</f>
        <v/>
      </c>
      <c r="I88" s="8">
        <f>D88-E88</f>
        <v/>
      </c>
      <c r="J88" s="4">
        <f>IF(F88&gt;C88,"Up",IF(F88&lt;C88,"Down","Flat"))</f>
        <v/>
      </c>
      <c r="K88" s="14" t="n">
        <v>21.19</v>
      </c>
      <c r="L88" s="15" t="n">
        <v>48.7</v>
      </c>
      <c r="M88" s="14" t="n">
        <v>1811.87</v>
      </c>
      <c r="N88" s="14" t="n">
        <v>1808.02</v>
      </c>
      <c r="O88" s="14" t="n"/>
      <c r="P88" s="4">
        <f>IF(O88="","",IF(F88&gt;O88,"Above","Below"))</f>
        <v/>
      </c>
      <c r="Q88" s="16" t="n">
        <v>177709</v>
      </c>
      <c r="R88" s="17" t="n">
        <v>0</v>
      </c>
      <c r="S88" s="17" t="n">
        <v>0</v>
      </c>
      <c r="T88" s="17" t="n">
        <v>0</v>
      </c>
      <c r="U88" s="18" t="n">
        <v>0</v>
      </c>
    </row>
    <row r="89">
      <c r="A89" s="13" t="n">
        <v>44599</v>
      </c>
      <c r="B89" s="4">
        <f>TEXT(A89,"ddd")</f>
        <v/>
      </c>
      <c r="C89" s="14" t="n">
        <v>1808</v>
      </c>
      <c r="D89" s="14" t="n">
        <v>1824.6</v>
      </c>
      <c r="E89" s="14" t="n">
        <v>1807.5</v>
      </c>
      <c r="F89" s="14" t="n">
        <v>1821.8</v>
      </c>
      <c r="G89" s="9">
        <f>F89-F88</f>
        <v/>
      </c>
      <c r="H89" s="10">
        <f>IF(F88=0,0,G89/F88)</f>
        <v/>
      </c>
      <c r="I89" s="8">
        <f>D89-E89</f>
        <v/>
      </c>
      <c r="J89" s="4">
        <f>IF(F89&gt;C89,"Up",IF(F89&lt;C89,"Down","Flat"))</f>
        <v/>
      </c>
      <c r="K89" s="14" t="n">
        <v>20.9</v>
      </c>
      <c r="L89" s="15" t="n">
        <v>53.14</v>
      </c>
      <c r="M89" s="14" t="n">
        <v>1812.82</v>
      </c>
      <c r="N89" s="14" t="n">
        <v>1808.57</v>
      </c>
      <c r="O89" s="14" t="n"/>
      <c r="P89" s="4">
        <f>IF(O89="","",IF(F89&gt;O89,"Above","Below"))</f>
        <v/>
      </c>
      <c r="Q89" s="16" t="n">
        <v>139808</v>
      </c>
      <c r="R89" s="17" t="n">
        <v>0</v>
      </c>
      <c r="S89" s="17" t="n">
        <v>0</v>
      </c>
      <c r="T89" s="17" t="n">
        <v>0</v>
      </c>
      <c r="U89" s="18" t="n">
        <v>0</v>
      </c>
    </row>
    <row r="90">
      <c r="A90" s="13" t="n">
        <v>44600</v>
      </c>
      <c r="B90" s="4">
        <f>TEXT(A90,"ddd")</f>
        <v/>
      </c>
      <c r="C90" s="14" t="n">
        <v>1821.5</v>
      </c>
      <c r="D90" s="14" t="n">
        <v>1829.9</v>
      </c>
      <c r="E90" s="14" t="n">
        <v>1816</v>
      </c>
      <c r="F90" s="14" t="n">
        <v>1827.9</v>
      </c>
      <c r="G90" s="9">
        <f>F90-F89</f>
        <v/>
      </c>
      <c r="H90" s="10">
        <f>IF(F89=0,0,G90/F89)</f>
        <v/>
      </c>
      <c r="I90" s="8">
        <f>D90-E90</f>
        <v/>
      </c>
      <c r="J90" s="4">
        <f>IF(F90&gt;C90,"Up",IF(F90&lt;C90,"Down","Flat"))</f>
        <v/>
      </c>
      <c r="K90" s="14" t="n">
        <v>20.4</v>
      </c>
      <c r="L90" s="15" t="n">
        <v>54.96</v>
      </c>
      <c r="M90" s="14" t="n">
        <v>1814.25</v>
      </c>
      <c r="N90" s="14" t="n">
        <v>1809.32</v>
      </c>
      <c r="O90" s="14" t="n"/>
      <c r="P90" s="4">
        <f>IF(O90="","",IF(F90&gt;O90,"Above","Below"))</f>
        <v/>
      </c>
      <c r="Q90" s="16" t="n">
        <v>142408</v>
      </c>
      <c r="R90" s="17" t="n">
        <v>0</v>
      </c>
      <c r="S90" s="17" t="n">
        <v>0</v>
      </c>
      <c r="T90" s="17" t="n">
        <v>0</v>
      </c>
      <c r="U90" s="18" t="n">
        <v>0</v>
      </c>
    </row>
    <row r="91">
      <c r="A91" s="13" t="n">
        <v>44601</v>
      </c>
      <c r="B91" s="4">
        <f>TEXT(A91,"ddd")</f>
        <v/>
      </c>
      <c r="C91" s="14" t="n">
        <v>1827</v>
      </c>
      <c r="D91" s="14" t="n">
        <v>1837.1</v>
      </c>
      <c r="E91" s="14" t="n">
        <v>1825.5</v>
      </c>
      <c r="F91" s="14" t="n">
        <v>1836.6</v>
      </c>
      <c r="G91" s="9">
        <f>F91-F90</f>
        <v/>
      </c>
      <c r="H91" s="10">
        <f>IF(F90=0,0,G91/F90)</f>
        <v/>
      </c>
      <c r="I91" s="8">
        <f>D91-E91</f>
        <v/>
      </c>
      <c r="J91" s="4">
        <f>IF(F91&gt;C91,"Up",IF(F91&lt;C91,"Down","Flat"))</f>
        <v/>
      </c>
      <c r="K91" s="14" t="n">
        <v>19.77</v>
      </c>
      <c r="L91" s="15" t="n">
        <v>57.51</v>
      </c>
      <c r="M91" s="14" t="n">
        <v>1816.38</v>
      </c>
      <c r="N91" s="14" t="n">
        <v>1810.39</v>
      </c>
      <c r="O91" s="14" t="n"/>
      <c r="P91" s="4">
        <f>IF(O91="","",IF(F91&gt;O91,"Above","Below"))</f>
        <v/>
      </c>
      <c r="Q91" s="16" t="n">
        <v>136722</v>
      </c>
      <c r="R91" s="17" t="n">
        <v>0</v>
      </c>
      <c r="S91" s="17" t="n">
        <v>0</v>
      </c>
      <c r="T91" s="17" t="n">
        <v>0</v>
      </c>
      <c r="U91" s="18" t="n">
        <v>0</v>
      </c>
    </row>
    <row r="92">
      <c r="A92" s="13" t="n">
        <v>44602</v>
      </c>
      <c r="B92" s="4">
        <f>TEXT(A92,"ddd")</f>
        <v/>
      </c>
      <c r="C92" s="14" t="n">
        <v>1834</v>
      </c>
      <c r="D92" s="14" t="n">
        <v>1843.3</v>
      </c>
      <c r="E92" s="14" t="n">
        <v>1821.8</v>
      </c>
      <c r="F92" s="14" t="n">
        <v>1837.4</v>
      </c>
      <c r="G92" s="9">
        <f>F92-F91</f>
        <v/>
      </c>
      <c r="H92" s="10">
        <f>IF(F91=0,0,G92/F91)</f>
        <v/>
      </c>
      <c r="I92" s="8">
        <f>D92-E92</f>
        <v/>
      </c>
      <c r="J92" s="4">
        <f>IF(F92&gt;C92,"Up",IF(F92&lt;C92,"Down","Flat"))</f>
        <v/>
      </c>
      <c r="K92" s="14" t="n">
        <v>19.89</v>
      </c>
      <c r="L92" s="15" t="n">
        <v>57.74</v>
      </c>
      <c r="M92" s="14" t="n">
        <v>1818.38</v>
      </c>
      <c r="N92" s="14" t="n">
        <v>1811.45</v>
      </c>
      <c r="O92" s="14" t="n"/>
      <c r="P92" s="4">
        <f>IF(O92="","",IF(F92&gt;O92,"Above","Below"))</f>
        <v/>
      </c>
      <c r="Q92" s="16" t="n">
        <v>227458</v>
      </c>
      <c r="R92" s="17" t="n">
        <v>0</v>
      </c>
      <c r="S92" s="17" t="n">
        <v>0</v>
      </c>
      <c r="T92" s="17" t="n">
        <v>0</v>
      </c>
      <c r="U92" s="18" t="n">
        <v>0</v>
      </c>
    </row>
    <row r="93">
      <c r="A93" s="13" t="n">
        <v>44603</v>
      </c>
      <c r="B93" s="4">
        <f>TEXT(A93,"ddd")</f>
        <v/>
      </c>
      <c r="C93" s="14" t="n">
        <v>1827</v>
      </c>
      <c r="D93" s="14" t="n">
        <v>1867.4</v>
      </c>
      <c r="E93" s="14" t="n">
        <v>1821.1</v>
      </c>
      <c r="F93" s="14" t="n">
        <v>1842.1</v>
      </c>
      <c r="G93" s="9">
        <f>F93-F92</f>
        <v/>
      </c>
      <c r="H93" s="10">
        <f>IF(F92=0,0,G93/F92)</f>
        <v/>
      </c>
      <c r="I93" s="8">
        <f>D93-E93</f>
        <v/>
      </c>
      <c r="J93" s="4">
        <f>IF(F93&gt;C93,"Up",IF(F93&lt;C93,"Down","Flat"))</f>
        <v/>
      </c>
      <c r="K93" s="14" t="n">
        <v>21.78</v>
      </c>
      <c r="L93" s="15" t="n">
        <v>59.18</v>
      </c>
      <c r="M93" s="14" t="n">
        <v>1820.64</v>
      </c>
      <c r="N93" s="14" t="n">
        <v>1812.65</v>
      </c>
      <c r="O93" s="14" t="n"/>
      <c r="P93" s="4">
        <f>IF(O93="","",IF(F93&gt;O93,"Above","Below"))</f>
        <v/>
      </c>
      <c r="Q93" s="16" t="n">
        <v>239093</v>
      </c>
      <c r="R93" s="17" t="n">
        <v>0</v>
      </c>
      <c r="S93" s="17" t="n">
        <v>0</v>
      </c>
      <c r="T93" s="17" t="n">
        <v>0</v>
      </c>
      <c r="U93" s="18" t="n">
        <v>0</v>
      </c>
    </row>
    <row r="94">
      <c r="A94" s="13" t="n">
        <v>44606</v>
      </c>
      <c r="B94" s="4">
        <f>TEXT(A94,"ddd")</f>
        <v/>
      </c>
      <c r="C94" s="14" t="n">
        <v>1862.2</v>
      </c>
      <c r="D94" s="14" t="n">
        <v>1876.5</v>
      </c>
      <c r="E94" s="14" t="n">
        <v>1851.9</v>
      </c>
      <c r="F94" s="14" t="n">
        <v>1869.4</v>
      </c>
      <c r="G94" s="9">
        <f>F94-F93</f>
        <v/>
      </c>
      <c r="H94" s="10">
        <f>IF(F93=0,0,G94/F93)</f>
        <v/>
      </c>
      <c r="I94" s="8">
        <f>D94-E94</f>
        <v/>
      </c>
      <c r="J94" s="4">
        <f>IF(F94&gt;C94,"Up",IF(F94&lt;C94,"Down","Flat"))</f>
        <v/>
      </c>
      <c r="K94" s="14" t="n">
        <v>22.68</v>
      </c>
      <c r="L94" s="15" t="n">
        <v>66.34</v>
      </c>
      <c r="M94" s="14" t="n">
        <v>1825.29</v>
      </c>
      <c r="N94" s="14" t="n">
        <v>1814.88</v>
      </c>
      <c r="O94" s="14" t="n"/>
      <c r="P94" s="4">
        <f>IF(O94="","",IF(F94&gt;O94,"Above","Below"))</f>
        <v/>
      </c>
      <c r="Q94" s="16" t="n">
        <v>231016</v>
      </c>
      <c r="R94" s="17" t="n">
        <v>0</v>
      </c>
      <c r="S94" s="17" t="n">
        <v>0</v>
      </c>
      <c r="T94" s="17" t="n">
        <v>0</v>
      </c>
      <c r="U94" s="18" t="n">
        <v>0</v>
      </c>
    </row>
    <row r="95">
      <c r="A95" s="13" t="n">
        <v>44607</v>
      </c>
      <c r="B95" s="4">
        <f>TEXT(A95,"ddd")</f>
        <v/>
      </c>
      <c r="C95" s="14" t="n">
        <v>1873.8</v>
      </c>
      <c r="D95" s="14" t="n">
        <v>1881.6</v>
      </c>
      <c r="E95" s="14" t="n">
        <v>1845.4</v>
      </c>
      <c r="F95" s="14" t="n">
        <v>1856.2</v>
      </c>
      <c r="G95" s="9">
        <f>F95-F94</f>
        <v/>
      </c>
      <c r="H95" s="10">
        <f>IF(F94=0,0,G95/F94)</f>
        <v/>
      </c>
      <c r="I95" s="8">
        <f>D95-E95</f>
        <v/>
      </c>
      <c r="J95" s="4">
        <f>IF(F95&gt;C95,"Up",IF(F95&lt;C95,"Down","Flat"))</f>
        <v/>
      </c>
      <c r="K95" s="14" t="n">
        <v>23.65</v>
      </c>
      <c r="L95" s="15" t="n">
        <v>60.79</v>
      </c>
      <c r="M95" s="14" t="n">
        <v>1828.23</v>
      </c>
      <c r="N95" s="14" t="n">
        <v>1816.5</v>
      </c>
      <c r="O95" s="14" t="n"/>
      <c r="P95" s="4">
        <f>IF(O95="","",IF(F95&gt;O95,"Above","Below"))</f>
        <v/>
      </c>
      <c r="Q95" s="16" t="n">
        <v>214880</v>
      </c>
      <c r="R95" s="17" t="n">
        <v>0</v>
      </c>
      <c r="S95" s="17" t="n">
        <v>0</v>
      </c>
      <c r="T95" s="17" t="n">
        <v>0</v>
      </c>
      <c r="U95" s="18" t="n">
        <v>0</v>
      </c>
    </row>
    <row r="96">
      <c r="A96" s="13" t="n">
        <v>44608</v>
      </c>
      <c r="B96" s="4">
        <f>TEXT(A96,"ddd")</f>
        <v/>
      </c>
      <c r="C96" s="14" t="n">
        <v>1855.5</v>
      </c>
      <c r="D96" s="14" t="n">
        <v>1874.6</v>
      </c>
      <c r="E96" s="14" t="n">
        <v>1851.8</v>
      </c>
      <c r="F96" s="14" t="n">
        <v>1871.5</v>
      </c>
      <c r="G96" s="9">
        <f>F96-F95</f>
        <v/>
      </c>
      <c r="H96" s="10">
        <f>IF(F95=0,0,G96/F95)</f>
        <v/>
      </c>
      <c r="I96" s="8">
        <f>D96-E96</f>
        <v/>
      </c>
      <c r="J96" s="4">
        <f>IF(F96&gt;C96,"Up",IF(F96&lt;C96,"Down","Flat"))</f>
        <v/>
      </c>
      <c r="K96" s="14" t="n">
        <v>23.59</v>
      </c>
      <c r="L96" s="15" t="n">
        <v>64.5</v>
      </c>
      <c r="M96" s="14" t="n">
        <v>1832.35</v>
      </c>
      <c r="N96" s="14" t="n">
        <v>1818.66</v>
      </c>
      <c r="O96" s="14" t="n"/>
      <c r="P96" s="4">
        <f>IF(O96="","",IF(F96&gt;O96,"Above","Below"))</f>
        <v/>
      </c>
      <c r="Q96" s="16" t="n">
        <v>141486</v>
      </c>
      <c r="R96" s="17" t="n">
        <v>0</v>
      </c>
      <c r="S96" s="17" t="n">
        <v>0</v>
      </c>
      <c r="T96" s="17" t="n">
        <v>0</v>
      </c>
      <c r="U96" s="18" t="n">
        <v>0</v>
      </c>
    </row>
    <row r="97">
      <c r="A97" s="13" t="n">
        <v>44609</v>
      </c>
      <c r="B97" s="4">
        <f>TEXT(A97,"ddd")</f>
        <v/>
      </c>
      <c r="C97" s="14" t="n">
        <v>1872</v>
      </c>
      <c r="D97" s="14" t="n">
        <v>1904</v>
      </c>
      <c r="E97" s="14" t="n">
        <v>1869.7</v>
      </c>
      <c r="F97" s="14" t="n">
        <v>1902</v>
      </c>
      <c r="G97" s="9">
        <f>F97-F96</f>
        <v/>
      </c>
      <c r="H97" s="10">
        <f>IF(F96=0,0,G97/F96)</f>
        <v/>
      </c>
      <c r="I97" s="8">
        <f>D97-E97</f>
        <v/>
      </c>
      <c r="J97" s="4">
        <f>IF(F97&gt;C97,"Up",IF(F97&lt;C97,"Down","Flat"))</f>
        <v/>
      </c>
      <c r="K97" s="14" t="n">
        <v>24.35</v>
      </c>
      <c r="L97" s="15" t="n">
        <v>70.48999999999999</v>
      </c>
      <c r="M97" s="14" t="n">
        <v>1838.98</v>
      </c>
      <c r="N97" s="14" t="n">
        <v>1821.92</v>
      </c>
      <c r="O97" s="14" t="n"/>
      <c r="P97" s="4">
        <f>IF(O97="","",IF(F97&gt;O97,"Above","Below"))</f>
        <v/>
      </c>
      <c r="Q97" s="16" t="n">
        <v>268547</v>
      </c>
      <c r="R97" s="17" t="n">
        <v>0</v>
      </c>
      <c r="S97" s="17" t="n">
        <v>0</v>
      </c>
      <c r="T97" s="17" t="n">
        <v>0</v>
      </c>
      <c r="U97" s="18" t="n">
        <v>0</v>
      </c>
    </row>
    <row r="98">
      <c r="A98" s="13" t="n">
        <v>44610</v>
      </c>
      <c r="B98" s="4">
        <f>TEXT(A98,"ddd")</f>
        <v/>
      </c>
      <c r="C98" s="14" t="n">
        <v>1901.4</v>
      </c>
      <c r="D98" s="14" t="n">
        <v>1905</v>
      </c>
      <c r="E98" s="14" t="n">
        <v>1888</v>
      </c>
      <c r="F98" s="14" t="n">
        <v>1899.8</v>
      </c>
      <c r="G98" s="9">
        <f>F98-F97</f>
        <v/>
      </c>
      <c r="H98" s="10">
        <f>IF(F97=0,0,G98/F97)</f>
        <v/>
      </c>
      <c r="I98" s="8">
        <f>D98-E98</f>
        <v/>
      </c>
      <c r="J98" s="4">
        <f>IF(F98&gt;C98,"Up",IF(F98&lt;C98,"Down","Flat"))</f>
        <v/>
      </c>
      <c r="K98" s="14" t="n">
        <v>23.83</v>
      </c>
      <c r="L98" s="15" t="n">
        <v>69.58</v>
      </c>
      <c r="M98" s="14" t="n">
        <v>1844.78</v>
      </c>
      <c r="N98" s="14" t="n">
        <v>1824.98</v>
      </c>
      <c r="O98" s="14" t="n"/>
      <c r="P98" s="4">
        <f>IF(O98="","",IF(F98&gt;O98,"Above","Below"))</f>
        <v/>
      </c>
      <c r="Q98" s="16" t="n">
        <v>161745</v>
      </c>
      <c r="R98" s="17" t="n">
        <v>0</v>
      </c>
      <c r="S98" s="17" t="n">
        <v>0</v>
      </c>
      <c r="T98" s="17" t="n">
        <v>0</v>
      </c>
      <c r="U98" s="18" t="n">
        <v>0</v>
      </c>
    </row>
    <row r="99">
      <c r="A99" s="13" t="n">
        <v>44614</v>
      </c>
      <c r="B99" s="4">
        <f>TEXT(A99,"ddd")</f>
        <v/>
      </c>
      <c r="C99" s="14" t="n">
        <v>1903.5</v>
      </c>
      <c r="D99" s="14" t="n">
        <v>1918.3</v>
      </c>
      <c r="E99" s="14" t="n">
        <v>1889.7</v>
      </c>
      <c r="F99" s="14" t="n">
        <v>1907.4</v>
      </c>
      <c r="G99" s="9">
        <f>F99-F98</f>
        <v/>
      </c>
      <c r="H99" s="10">
        <f>IF(F98=0,0,G99/F98)</f>
        <v/>
      </c>
      <c r="I99" s="8">
        <f>D99-E99</f>
        <v/>
      </c>
      <c r="J99" s="4">
        <f>IF(F99&gt;C99,"Up",IF(F99&lt;C99,"Down","Flat"))</f>
        <v/>
      </c>
      <c r="K99" s="14" t="n">
        <v>24.17</v>
      </c>
      <c r="L99" s="15" t="n">
        <v>70.98</v>
      </c>
      <c r="M99" s="14" t="n">
        <v>1850.74</v>
      </c>
      <c r="N99" s="14" t="n">
        <v>1828.21</v>
      </c>
      <c r="O99" s="14" t="n"/>
      <c r="P99" s="4">
        <f>IF(O99="","",IF(F99&gt;O99,"Above","Below"))</f>
        <v/>
      </c>
      <c r="Q99" s="16" t="n">
        <v>334589</v>
      </c>
      <c r="R99" s="17" t="n">
        <v>0</v>
      </c>
      <c r="S99" s="17" t="n">
        <v>0</v>
      </c>
      <c r="T99" s="17" t="n">
        <v>0</v>
      </c>
      <c r="U99" s="18" t="n">
        <v>0</v>
      </c>
    </row>
    <row r="100">
      <c r="A100" s="13" t="n">
        <v>44615</v>
      </c>
      <c r="B100" s="4">
        <f>TEXT(A100,"ddd")</f>
        <v/>
      </c>
      <c r="C100" s="14" t="n">
        <v>1901.2</v>
      </c>
      <c r="D100" s="14" t="n">
        <v>1912.9</v>
      </c>
      <c r="E100" s="14" t="n">
        <v>1891.1</v>
      </c>
      <c r="F100" s="14" t="n">
        <v>1910.4</v>
      </c>
      <c r="G100" s="9">
        <f>F100-F99</f>
        <v/>
      </c>
      <c r="H100" s="10">
        <f>IF(F99=0,0,G100/F99)</f>
        <v/>
      </c>
      <c r="I100" s="8">
        <f>D100-E100</f>
        <v/>
      </c>
      <c r="J100" s="4">
        <f>IF(F100&gt;C100,"Up",IF(F100&lt;C100,"Down","Flat"))</f>
        <v/>
      </c>
      <c r="K100" s="14" t="n">
        <v>24</v>
      </c>
      <c r="L100" s="15" t="n">
        <v>71.53</v>
      </c>
      <c r="M100" s="14" t="n">
        <v>1856.42</v>
      </c>
      <c r="N100" s="14" t="n">
        <v>1831.43</v>
      </c>
      <c r="O100" s="14" t="n"/>
      <c r="P100" s="4">
        <f>IF(O100="","",IF(F100&gt;O100,"Above","Below"))</f>
        <v/>
      </c>
      <c r="Q100" s="16" t="n">
        <v>154843</v>
      </c>
      <c r="R100" s="17" t="n">
        <v>0</v>
      </c>
      <c r="S100" s="17" t="n">
        <v>0</v>
      </c>
      <c r="T100" s="17" t="n">
        <v>0</v>
      </c>
      <c r="U100" s="18" t="n">
        <v>0</v>
      </c>
    </row>
    <row r="101">
      <c r="A101" s="13" t="n">
        <v>44616</v>
      </c>
      <c r="B101" s="4">
        <f>TEXT(A101,"ddd")</f>
        <v/>
      </c>
      <c r="C101" s="14" t="n">
        <v>1911.9</v>
      </c>
      <c r="D101" s="14" t="n">
        <v>1976.5</v>
      </c>
      <c r="E101" s="14" t="n">
        <v>1878.6</v>
      </c>
      <c r="F101" s="14" t="n">
        <v>1926.3</v>
      </c>
      <c r="G101" s="9">
        <f>F101-F100</f>
        <v/>
      </c>
      <c r="H101" s="10">
        <f>IF(F100=0,0,G101/F100)</f>
        <v/>
      </c>
      <c r="I101" s="8">
        <f>D101-E101</f>
        <v/>
      </c>
      <c r="J101" s="4">
        <f>IF(F101&gt;C101,"Up",IF(F101&lt;C101,"Down","Flat"))</f>
        <v/>
      </c>
      <c r="K101" s="14" t="n">
        <v>29.28</v>
      </c>
      <c r="L101" s="15" t="n">
        <v>74.34</v>
      </c>
      <c r="M101" s="14" t="n">
        <v>1863.08</v>
      </c>
      <c r="N101" s="14" t="n">
        <v>1835.15</v>
      </c>
      <c r="O101" s="14" t="n"/>
      <c r="P101" s="4">
        <f>IF(O101="","",IF(F101&gt;O101,"Above","Below"))</f>
        <v/>
      </c>
      <c r="Q101" s="16" t="n">
        <v>423048</v>
      </c>
      <c r="R101" s="17" t="n">
        <v>0</v>
      </c>
      <c r="S101" s="17" t="n">
        <v>0</v>
      </c>
      <c r="T101" s="17" t="n">
        <v>0</v>
      </c>
      <c r="U101" s="18" t="n">
        <v>0</v>
      </c>
    </row>
    <row r="102">
      <c r="A102" s="13" t="n">
        <v>44617</v>
      </c>
      <c r="B102" s="4">
        <f>TEXT(A102,"ddd")</f>
        <v/>
      </c>
      <c r="C102" s="14" t="n">
        <v>1906.5</v>
      </c>
      <c r="D102" s="14" t="n">
        <v>1925</v>
      </c>
      <c r="E102" s="14" t="n">
        <v>1884.4</v>
      </c>
      <c r="F102" s="14" t="n">
        <v>1887.6</v>
      </c>
      <c r="G102" s="9">
        <f>F102-F101</f>
        <v/>
      </c>
      <c r="H102" s="10">
        <f>IF(F101=0,0,G102/F101)</f>
        <v/>
      </c>
      <c r="I102" s="8">
        <f>D102-E102</f>
        <v/>
      </c>
      <c r="J102" s="4">
        <f>IF(F102&gt;C102,"Up",IF(F102&lt;C102,"Down","Flat"))</f>
        <v/>
      </c>
      <c r="K102" s="14" t="n">
        <v>30.18</v>
      </c>
      <c r="L102" s="15" t="n">
        <v>59.08</v>
      </c>
      <c r="M102" s="14" t="n">
        <v>1865.41</v>
      </c>
      <c r="N102" s="14" t="n">
        <v>1837.21</v>
      </c>
      <c r="O102" s="14" t="n"/>
      <c r="P102" s="4">
        <f>IF(O102="","",IF(F102&gt;O102,"Above","Below"))</f>
        <v/>
      </c>
      <c r="Q102" s="16" t="n">
        <v>229780</v>
      </c>
      <c r="R102" s="17" t="n">
        <v>0</v>
      </c>
      <c r="S102" s="17" t="n">
        <v>0</v>
      </c>
      <c r="T102" s="17" t="n">
        <v>0</v>
      </c>
      <c r="U102" s="18" t="n">
        <v>0</v>
      </c>
    </row>
    <row r="103">
      <c r="A103" s="13" t="n">
        <v>44620</v>
      </c>
      <c r="B103" s="4">
        <f>TEXT(A103,"ddd")</f>
        <v/>
      </c>
      <c r="C103" s="14" t="n">
        <v>1921</v>
      </c>
      <c r="D103" s="14" t="n">
        <v>1935.2</v>
      </c>
      <c r="E103" s="14" t="n">
        <v>1892.2</v>
      </c>
      <c r="F103" s="14" t="n">
        <v>1900.7</v>
      </c>
      <c r="G103" s="9">
        <f>F103-F102</f>
        <v/>
      </c>
      <c r="H103" s="10">
        <f>IF(F102=0,0,G103/F102)</f>
        <v/>
      </c>
      <c r="I103" s="8">
        <f>D103-E103</f>
        <v/>
      </c>
      <c r="J103" s="4">
        <f>IF(F103&gt;C103,"Up",IF(F103&lt;C103,"Down","Flat"))</f>
        <v/>
      </c>
      <c r="K103" s="14" t="n">
        <v>31.42</v>
      </c>
      <c r="L103" s="15" t="n">
        <v>61.93</v>
      </c>
      <c r="M103" s="14" t="n">
        <v>1868.77</v>
      </c>
      <c r="N103" s="14" t="n">
        <v>1839.7</v>
      </c>
      <c r="O103" s="14" t="n"/>
      <c r="P103" s="4">
        <f>IF(O103="","",IF(F103&gt;O103,"Above","Below"))</f>
        <v/>
      </c>
      <c r="Q103" s="16" t="n">
        <v>249273</v>
      </c>
      <c r="R103" s="17" t="n">
        <v>0</v>
      </c>
      <c r="S103" s="17" t="n">
        <v>0</v>
      </c>
      <c r="T103" s="17" t="n">
        <v>0</v>
      </c>
      <c r="U103" s="18" t="n">
        <v>0</v>
      </c>
    </row>
    <row r="104">
      <c r="A104" s="13" t="n">
        <v>44621</v>
      </c>
      <c r="B104" s="4">
        <f>TEXT(A104,"ddd")</f>
        <v/>
      </c>
      <c r="C104" s="14" t="n">
        <v>1908.4</v>
      </c>
      <c r="D104" s="14" t="n">
        <v>1952.6</v>
      </c>
      <c r="E104" s="14" t="n">
        <v>1903</v>
      </c>
      <c r="F104" s="14" t="n">
        <v>1943.8</v>
      </c>
      <c r="G104" s="9">
        <f>F104-F103</f>
        <v/>
      </c>
      <c r="H104" s="10">
        <f>IF(F103=0,0,G104/F103)</f>
        <v/>
      </c>
      <c r="I104" s="8">
        <f>D104-E104</f>
        <v/>
      </c>
      <c r="J104" s="4">
        <f>IF(F104&gt;C104,"Up",IF(F104&lt;C104,"Down","Flat"))</f>
        <v/>
      </c>
      <c r="K104" s="14" t="n">
        <v>32.89</v>
      </c>
      <c r="L104" s="15" t="n">
        <v>69.45999999999999</v>
      </c>
      <c r="M104" s="14" t="n">
        <v>1875.92</v>
      </c>
      <c r="N104" s="14" t="n">
        <v>1843.78</v>
      </c>
      <c r="O104" s="14" t="n"/>
      <c r="P104" s="4">
        <f>IF(O104="","",IF(F104&gt;O104,"Above","Below"))</f>
        <v/>
      </c>
      <c r="Q104" s="16" t="n">
        <v>223998</v>
      </c>
      <c r="R104" s="17" t="n">
        <v>0</v>
      </c>
      <c r="S104" s="17" t="n">
        <v>0</v>
      </c>
      <c r="T104" s="17" t="n">
        <v>0</v>
      </c>
      <c r="U104" s="18" t="n">
        <v>0</v>
      </c>
    </row>
    <row r="105">
      <c r="A105" s="13" t="n">
        <v>44622</v>
      </c>
      <c r="B105" s="4">
        <f>TEXT(A105,"ddd")</f>
        <v/>
      </c>
      <c r="C105" s="14" t="n">
        <v>1945.3</v>
      </c>
      <c r="D105" s="14" t="n">
        <v>1951.4</v>
      </c>
      <c r="E105" s="14" t="n">
        <v>1916</v>
      </c>
      <c r="F105" s="14" t="n">
        <v>1922.3</v>
      </c>
      <c r="G105" s="9">
        <f>F105-F104</f>
        <v/>
      </c>
      <c r="H105" s="10">
        <f>IF(F104=0,0,G105/F104)</f>
        <v/>
      </c>
      <c r="I105" s="8">
        <f>D105-E105</f>
        <v/>
      </c>
      <c r="J105" s="4">
        <f>IF(F105&gt;C105,"Up",IF(F105&lt;C105,"Down","Flat"))</f>
        <v/>
      </c>
      <c r="K105" s="14" t="n">
        <v>33.07</v>
      </c>
      <c r="L105" s="15" t="n">
        <v>62.79</v>
      </c>
      <c r="M105" s="14" t="n">
        <v>1880.34</v>
      </c>
      <c r="N105" s="14" t="n">
        <v>1846.86</v>
      </c>
      <c r="O105" s="14" t="n"/>
      <c r="P105" s="4">
        <f>IF(O105="","",IF(F105&gt;O105,"Above","Below"))</f>
        <v/>
      </c>
      <c r="Q105" s="16" t="n">
        <v>227975</v>
      </c>
      <c r="R105" s="17" t="n">
        <v>0</v>
      </c>
      <c r="S105" s="17" t="n">
        <v>0</v>
      </c>
      <c r="T105" s="17" t="n">
        <v>0</v>
      </c>
      <c r="U105" s="18" t="n">
        <v>0</v>
      </c>
    </row>
    <row r="106">
      <c r="A106" s="13" t="n">
        <v>44623</v>
      </c>
      <c r="B106" s="4">
        <f>TEXT(A106,"ddd")</f>
        <v/>
      </c>
      <c r="C106" s="14" t="n">
        <v>1931.7</v>
      </c>
      <c r="D106" s="14" t="n">
        <v>1944.6</v>
      </c>
      <c r="E106" s="14" t="n">
        <v>1923.1</v>
      </c>
      <c r="F106" s="14" t="n">
        <v>1935.9</v>
      </c>
      <c r="G106" s="9">
        <f>F106-F105</f>
        <v/>
      </c>
      <c r="H106" s="10">
        <f>IF(F105=0,0,G106/F105)</f>
        <v/>
      </c>
      <c r="I106" s="8">
        <f>D106-E106</f>
        <v/>
      </c>
      <c r="J106" s="4">
        <f>IF(F106&gt;C106,"Up",IF(F106&lt;C106,"Down","Flat"))</f>
        <v/>
      </c>
      <c r="K106" s="14" t="n">
        <v>32.3</v>
      </c>
      <c r="L106" s="15" t="n">
        <v>65.06999999999999</v>
      </c>
      <c r="M106" s="14" t="n">
        <v>1885.63</v>
      </c>
      <c r="N106" s="14" t="n">
        <v>1850.35</v>
      </c>
      <c r="O106" s="14" t="n"/>
      <c r="P106" s="4">
        <f>IF(O106="","",IF(F106&gt;O106,"Above","Below"))</f>
        <v/>
      </c>
      <c r="Q106" s="16" t="n">
        <v>180207</v>
      </c>
      <c r="R106" s="17" t="n">
        <v>0</v>
      </c>
      <c r="S106" s="17" t="n">
        <v>0</v>
      </c>
      <c r="T106" s="17" t="n">
        <v>0</v>
      </c>
      <c r="U106" s="18" t="n">
        <v>0</v>
      </c>
    </row>
    <row r="107">
      <c r="A107" s="13" t="n">
        <v>44624</v>
      </c>
      <c r="B107" s="4">
        <f>TEXT(A107,"ddd")</f>
        <v/>
      </c>
      <c r="C107" s="14" t="n">
        <v>1938.5</v>
      </c>
      <c r="D107" s="14" t="n">
        <v>1974.9</v>
      </c>
      <c r="E107" s="14" t="n">
        <v>1931.5</v>
      </c>
      <c r="F107" s="14" t="n">
        <v>1966.6</v>
      </c>
      <c r="G107" s="9">
        <f>F107-F106</f>
        <v/>
      </c>
      <c r="H107" s="10">
        <f>IF(F106=0,0,G107/F106)</f>
        <v/>
      </c>
      <c r="I107" s="8">
        <f>D107-E107</f>
        <v/>
      </c>
      <c r="J107" s="4">
        <f>IF(F107&gt;C107,"Up",IF(F107&lt;C107,"Down","Flat"))</f>
        <v/>
      </c>
      <c r="K107" s="14" t="n">
        <v>33.09</v>
      </c>
      <c r="L107" s="15" t="n">
        <v>69.61</v>
      </c>
      <c r="M107" s="14" t="n">
        <v>1893.34</v>
      </c>
      <c r="N107" s="14" t="n">
        <v>1854.91</v>
      </c>
      <c r="O107" s="14" t="n"/>
      <c r="P107" s="4">
        <f>IF(O107="","",IF(F107&gt;O107,"Above","Below"))</f>
        <v/>
      </c>
      <c r="Q107" s="16" t="n">
        <v>241533</v>
      </c>
      <c r="R107" s="17" t="n">
        <v>0</v>
      </c>
      <c r="S107" s="17" t="n">
        <v>0</v>
      </c>
      <c r="T107" s="17" t="n">
        <v>0</v>
      </c>
      <c r="U107" s="18" t="n">
        <v>0</v>
      </c>
    </row>
    <row r="108">
      <c r="A108" s="13" t="n">
        <v>44627</v>
      </c>
      <c r="B108" s="4">
        <f>TEXT(A108,"ddd")</f>
        <v/>
      </c>
      <c r="C108" s="14" t="n">
        <v>1978.5</v>
      </c>
      <c r="D108" s="14" t="n">
        <v>2007.5</v>
      </c>
      <c r="E108" s="14" t="n">
        <v>1964.2</v>
      </c>
      <c r="F108" s="14" t="n">
        <v>1995.9</v>
      </c>
      <c r="G108" s="9">
        <f>F108-F107</f>
        <v/>
      </c>
      <c r="H108" s="10">
        <f>IF(F107=0,0,G108/F107)</f>
        <v/>
      </c>
      <c r="I108" s="8">
        <f>D108-E108</f>
        <v/>
      </c>
      <c r="J108" s="4">
        <f>IF(F108&gt;C108,"Up",IF(F108&lt;C108,"Down","Flat"))</f>
        <v/>
      </c>
      <c r="K108" s="14" t="n">
        <v>33.82</v>
      </c>
      <c r="L108" s="15" t="n">
        <v>73.19</v>
      </c>
      <c r="M108" s="14" t="n">
        <v>1903.11</v>
      </c>
      <c r="N108" s="14" t="n">
        <v>1860.44</v>
      </c>
      <c r="O108" s="14" t="n"/>
      <c r="P108" s="4">
        <f>IF(O108="","",IF(F108&gt;O108,"Above","Below"))</f>
        <v/>
      </c>
      <c r="Q108" s="16" t="n">
        <v>372185</v>
      </c>
      <c r="R108" s="17" t="n">
        <v>0</v>
      </c>
      <c r="S108" s="17" t="n">
        <v>0</v>
      </c>
      <c r="T108" s="17" t="n">
        <v>0</v>
      </c>
      <c r="U108" s="18" t="n">
        <v>0</v>
      </c>
    </row>
    <row r="109">
      <c r="A109" s="13" t="n">
        <v>44628</v>
      </c>
      <c r="B109" s="4">
        <f>TEXT(A109,"ddd")</f>
        <v/>
      </c>
      <c r="C109" s="14" t="n">
        <v>2001</v>
      </c>
      <c r="D109" s="14" t="n">
        <v>2078.8</v>
      </c>
      <c r="E109" s="14" t="n">
        <v>1985.8</v>
      </c>
      <c r="F109" s="14" t="n">
        <v>2043.3</v>
      </c>
      <c r="G109" s="9">
        <f>F109-F108</f>
        <v/>
      </c>
      <c r="H109" s="10">
        <f>IF(F108=0,0,G109/F108)</f>
        <v/>
      </c>
      <c r="I109" s="8">
        <f>D109-E109</f>
        <v/>
      </c>
      <c r="J109" s="4">
        <f>IF(F109&gt;C109,"Up",IF(F109&lt;C109,"Down","Flat"))</f>
        <v/>
      </c>
      <c r="K109" s="14" t="n">
        <v>38.05</v>
      </c>
      <c r="L109" s="15" t="n">
        <v>77.76000000000001</v>
      </c>
      <c r="M109" s="14" t="n">
        <v>1916.46</v>
      </c>
      <c r="N109" s="14" t="n">
        <v>1867.61</v>
      </c>
      <c r="O109" s="14" t="n"/>
      <c r="P109" s="4">
        <f>IF(O109="","",IF(F109&gt;O109,"Above","Below"))</f>
        <v/>
      </c>
      <c r="Q109" s="16" t="n">
        <v>447651</v>
      </c>
      <c r="R109" s="17" t="n">
        <v>0</v>
      </c>
      <c r="S109" s="17" t="n">
        <v>0</v>
      </c>
      <c r="T109" s="17" t="n">
        <v>0</v>
      </c>
      <c r="U109" s="18" t="n">
        <v>0</v>
      </c>
    </row>
    <row r="110">
      <c r="A110" s="13" t="n">
        <v>44629</v>
      </c>
      <c r="B110" s="4">
        <f>TEXT(A110,"ddd")</f>
        <v/>
      </c>
      <c r="C110" s="14" t="n">
        <v>2060.2</v>
      </c>
      <c r="D110" s="14" t="n">
        <v>2068.5</v>
      </c>
      <c r="E110" s="14" t="n">
        <v>1981</v>
      </c>
      <c r="F110" s="14" t="n">
        <v>1988.2</v>
      </c>
      <c r="G110" s="9">
        <f>F110-F109</f>
        <v/>
      </c>
      <c r="H110" s="10">
        <f>IF(F109=0,0,G110/F109)</f>
        <v/>
      </c>
      <c r="I110" s="8">
        <f>D110-E110</f>
        <v/>
      </c>
      <c r="J110" s="4">
        <f>IF(F110&gt;C110,"Up",IF(F110&lt;C110,"Down","Flat"))</f>
        <v/>
      </c>
      <c r="K110" s="14" t="n">
        <v>41.58</v>
      </c>
      <c r="L110" s="15" t="n">
        <v>64.09</v>
      </c>
      <c r="M110" s="14" t="n">
        <v>1923.29</v>
      </c>
      <c r="N110" s="14" t="n">
        <v>1872.34</v>
      </c>
      <c r="O110" s="14" t="n"/>
      <c r="P110" s="4">
        <f>IF(O110="","",IF(F110&gt;O110,"Above","Below"))</f>
        <v/>
      </c>
      <c r="Q110" s="16" t="n">
        <v>360345</v>
      </c>
      <c r="R110" s="17" t="n">
        <v>0</v>
      </c>
      <c r="S110" s="17" t="n">
        <v>0</v>
      </c>
      <c r="T110" s="17" t="n">
        <v>0</v>
      </c>
      <c r="U110" s="18" t="n">
        <v>0</v>
      </c>
    </row>
    <row r="111">
      <c r="A111" s="13" t="n">
        <v>44630</v>
      </c>
      <c r="B111" s="4">
        <f>TEXT(A111,"ddd")</f>
        <v/>
      </c>
      <c r="C111" s="14" t="n">
        <v>1992.8</v>
      </c>
      <c r="D111" s="14" t="n">
        <v>2015.1</v>
      </c>
      <c r="E111" s="14" t="n">
        <v>1975</v>
      </c>
      <c r="F111" s="14" t="n">
        <v>2000.4</v>
      </c>
      <c r="G111" s="9">
        <f>F111-F110</f>
        <v/>
      </c>
      <c r="H111" s="10">
        <f>IF(F110=0,0,G111/F110)</f>
        <v/>
      </c>
      <c r="I111" s="8">
        <f>D111-E111</f>
        <v/>
      </c>
      <c r="J111" s="4">
        <f>IF(F111&gt;C111,"Up",IF(F111&lt;C111,"Down","Flat"))</f>
        <v/>
      </c>
      <c r="K111" s="14" t="n">
        <v>41.47</v>
      </c>
      <c r="L111" s="15" t="n">
        <v>65.54000000000001</v>
      </c>
      <c r="M111" s="14" t="n">
        <v>1930.64</v>
      </c>
      <c r="N111" s="14" t="n">
        <v>1877.36</v>
      </c>
      <c r="O111" s="14" t="n"/>
      <c r="P111" s="4">
        <f>IF(O111="","",IF(F111&gt;O111,"Above","Below"))</f>
        <v/>
      </c>
      <c r="Q111" s="16" t="n">
        <v>303267</v>
      </c>
      <c r="R111" s="17" t="n">
        <v>0</v>
      </c>
      <c r="S111" s="17" t="n">
        <v>0</v>
      </c>
      <c r="T111" s="17" t="n">
        <v>0</v>
      </c>
      <c r="U111" s="18" t="n">
        <v>0</v>
      </c>
    </row>
    <row r="112">
      <c r="A112" s="13" t="n">
        <v>44631</v>
      </c>
      <c r="B112" s="4">
        <f>TEXT(A112,"ddd")</f>
        <v/>
      </c>
      <c r="C112" s="14" t="n">
        <v>2000.3</v>
      </c>
      <c r="D112" s="14" t="n">
        <v>2004</v>
      </c>
      <c r="E112" s="14" t="n">
        <v>1960.6</v>
      </c>
      <c r="F112" s="14" t="n">
        <v>1985</v>
      </c>
      <c r="G112" s="9">
        <f>F112-F111</f>
        <v/>
      </c>
      <c r="H112" s="10">
        <f>IF(F111=0,0,G112/F111)</f>
        <v/>
      </c>
      <c r="I112" s="8">
        <f>D112-E112</f>
        <v/>
      </c>
      <c r="J112" s="4">
        <f>IF(F112&gt;C112,"Up",IF(F112&lt;C112,"Down","Flat"))</f>
        <v/>
      </c>
      <c r="K112" s="14" t="n">
        <v>41.61</v>
      </c>
      <c r="L112" s="15" t="n">
        <v>62.14</v>
      </c>
      <c r="M112" s="14" t="n">
        <v>1935.81</v>
      </c>
      <c r="N112" s="14" t="n">
        <v>1881.58</v>
      </c>
      <c r="O112" s="14" t="n"/>
      <c r="P112" s="4">
        <f>IF(O112="","",IF(F112&gt;O112,"Above","Below"))</f>
        <v/>
      </c>
      <c r="Q112" s="16" t="n">
        <v>262088</v>
      </c>
      <c r="R112" s="17" t="n">
        <v>0</v>
      </c>
      <c r="S112" s="17" t="n">
        <v>0</v>
      </c>
      <c r="T112" s="17" t="n">
        <v>0</v>
      </c>
      <c r="U112" s="18" t="n">
        <v>0</v>
      </c>
    </row>
    <row r="113">
      <c r="A113" s="13" t="n">
        <v>44634</v>
      </c>
      <c r="B113" s="4">
        <f>TEXT(A113,"ddd")</f>
        <v/>
      </c>
      <c r="C113" s="14" t="n">
        <v>1988.7</v>
      </c>
      <c r="D113" s="14" t="n">
        <v>1994.8</v>
      </c>
      <c r="E113" s="14" t="n">
        <v>1952</v>
      </c>
      <c r="F113" s="14" t="n">
        <v>1960.8</v>
      </c>
      <c r="G113" s="9">
        <f>F113-F112</f>
        <v/>
      </c>
      <c r="H113" s="10">
        <f>IF(F112=0,0,G113/F112)</f>
        <v/>
      </c>
      <c r="I113" s="8">
        <f>D113-E113</f>
        <v/>
      </c>
      <c r="J113" s="4">
        <f>IF(F113&gt;C113,"Up",IF(F113&lt;C113,"Down","Flat"))</f>
        <v/>
      </c>
      <c r="K113" s="14" t="n">
        <v>41.7</v>
      </c>
      <c r="L113" s="15" t="n">
        <v>57.13</v>
      </c>
      <c r="M113" s="14" t="n">
        <v>1938.19</v>
      </c>
      <c r="N113" s="14" t="n">
        <v>1884.69</v>
      </c>
      <c r="O113" s="14" t="n"/>
      <c r="P113" s="4">
        <f>IF(O113="","",IF(F113&gt;O113,"Above","Below"))</f>
        <v/>
      </c>
      <c r="Q113" s="16" t="n">
        <v>162203</v>
      </c>
      <c r="R113" s="17" t="n">
        <v>0</v>
      </c>
      <c r="S113" s="17" t="n">
        <v>0</v>
      </c>
      <c r="T113" s="17" t="n">
        <v>0</v>
      </c>
      <c r="U113" s="18" t="n">
        <v>0</v>
      </c>
    </row>
    <row r="114">
      <c r="A114" s="13" t="n">
        <v>44635</v>
      </c>
      <c r="B114" s="4">
        <f>TEXT(A114,"ddd")</f>
        <v/>
      </c>
      <c r="C114" s="14" t="n">
        <v>1953.7</v>
      </c>
      <c r="D114" s="14" t="n">
        <v>1956.9</v>
      </c>
      <c r="E114" s="14" t="n">
        <v>1908.1</v>
      </c>
      <c r="F114" s="14" t="n">
        <v>1929.7</v>
      </c>
      <c r="G114" s="9">
        <f>F114-F113</f>
        <v/>
      </c>
      <c r="H114" s="10">
        <f>IF(F113=0,0,G114/F113)</f>
        <v/>
      </c>
      <c r="I114" s="8">
        <f>D114-E114</f>
        <v/>
      </c>
      <c r="J114" s="4">
        <f>IF(F114&gt;C114,"Up",IF(F114&lt;C114,"Down","Flat"))</f>
        <v/>
      </c>
      <c r="K114" s="14" t="n">
        <v>42.48</v>
      </c>
      <c r="L114" s="15" t="n">
        <v>51.39</v>
      </c>
      <c r="M114" s="14" t="n">
        <v>1937.38</v>
      </c>
      <c r="N114" s="14" t="n">
        <v>1886.46</v>
      </c>
      <c r="O114" s="14" t="n"/>
      <c r="P114" s="4">
        <f>IF(O114="","",IF(F114&gt;O114,"Above","Below"))</f>
        <v/>
      </c>
      <c r="Q114" s="16" t="n">
        <v>220374</v>
      </c>
      <c r="R114" s="17" t="n">
        <v>0</v>
      </c>
      <c r="S114" s="17" t="n">
        <v>0</v>
      </c>
      <c r="T114" s="17" t="n">
        <v>0</v>
      </c>
      <c r="U114" s="18" t="n">
        <v>0</v>
      </c>
    </row>
    <row r="115">
      <c r="A115" s="13" t="n">
        <v>44636</v>
      </c>
      <c r="B115" s="4">
        <f>TEXT(A115,"ddd")</f>
        <v/>
      </c>
      <c r="C115" s="14" t="n">
        <v>1920.1</v>
      </c>
      <c r="D115" s="14" t="n">
        <v>1930.1</v>
      </c>
      <c r="E115" s="14" t="n">
        <v>1895.2</v>
      </c>
      <c r="F115" s="14" t="n">
        <v>1909.2</v>
      </c>
      <c r="G115" s="9">
        <f>F115-F114</f>
        <v/>
      </c>
      <c r="H115" s="10">
        <f>IF(F114=0,0,G115/F114)</f>
        <v/>
      </c>
      <c r="I115" s="8">
        <f>D115-E115</f>
        <v/>
      </c>
      <c r="J115" s="4">
        <f>IF(F115&gt;C115,"Up",IF(F115&lt;C115,"Down","Flat"))</f>
        <v/>
      </c>
      <c r="K115" s="14" t="n">
        <v>41.94</v>
      </c>
      <c r="L115" s="15" t="n">
        <v>47.97</v>
      </c>
      <c r="M115" s="14" t="n">
        <v>1934.7</v>
      </c>
      <c r="N115" s="14" t="n">
        <v>1887.35</v>
      </c>
      <c r="O115" s="14" t="n"/>
      <c r="P115" s="4">
        <f>IF(O115="","",IF(F115&gt;O115,"Above","Below"))</f>
        <v/>
      </c>
      <c r="Q115" s="16" t="n">
        <v>195460</v>
      </c>
      <c r="R115" s="17" t="n">
        <v>0</v>
      </c>
      <c r="S115" s="17" t="n">
        <v>0</v>
      </c>
      <c r="T115" s="17" t="n">
        <v>0</v>
      </c>
      <c r="U115" s="18" t="n">
        <v>0</v>
      </c>
    </row>
    <row r="116">
      <c r="A116" s="13" t="n">
        <v>44637</v>
      </c>
      <c r="B116" s="4">
        <f>TEXT(A116,"ddd")</f>
        <v/>
      </c>
      <c r="C116" s="14" t="n">
        <v>1928.4</v>
      </c>
      <c r="D116" s="14" t="n">
        <v>1951</v>
      </c>
      <c r="E116" s="14" t="n">
        <v>1924</v>
      </c>
      <c r="F116" s="14" t="n">
        <v>1943.2</v>
      </c>
      <c r="G116" s="9">
        <f>F116-F115</f>
        <v/>
      </c>
      <c r="H116" s="10">
        <f>IF(F115=0,0,G116/F115)</f>
        <v/>
      </c>
      <c r="I116" s="8">
        <f>D116-E116</f>
        <v/>
      </c>
      <c r="J116" s="4">
        <f>IF(F116&gt;C116,"Up",IF(F116&lt;C116,"Down","Flat"))</f>
        <v/>
      </c>
      <c r="K116" s="14" t="n">
        <v>41.93</v>
      </c>
      <c r="L116" s="15" t="n">
        <v>53.5</v>
      </c>
      <c r="M116" s="14" t="n">
        <v>1935.51</v>
      </c>
      <c r="N116" s="14" t="n">
        <v>1889.54</v>
      </c>
      <c r="O116" s="14" t="n"/>
      <c r="P116" s="4">
        <f>IF(O116="","",IF(F116&gt;O116,"Above","Below"))</f>
        <v/>
      </c>
      <c r="Q116" s="16" t="n">
        <v>149829</v>
      </c>
      <c r="R116" s="17" t="n">
        <v>0</v>
      </c>
      <c r="S116" s="17" t="n">
        <v>0</v>
      </c>
      <c r="T116" s="17" t="n">
        <v>0</v>
      </c>
      <c r="U116" s="18" t="n">
        <v>0</v>
      </c>
    </row>
    <row r="117">
      <c r="A117" s="13" t="n">
        <v>44638</v>
      </c>
      <c r="B117" s="4">
        <f>TEXT(A117,"ddd")</f>
        <v/>
      </c>
      <c r="C117" s="14" t="n">
        <v>1943.9</v>
      </c>
      <c r="D117" s="14" t="n">
        <v>1946.2</v>
      </c>
      <c r="E117" s="14" t="n">
        <v>1918</v>
      </c>
      <c r="F117" s="14" t="n">
        <v>1929.3</v>
      </c>
      <c r="G117" s="9">
        <f>F117-F116</f>
        <v/>
      </c>
      <c r="H117" s="10">
        <f>IF(F116=0,0,G117/F116)</f>
        <v/>
      </c>
      <c r="I117" s="8">
        <f>D117-E117</f>
        <v/>
      </c>
      <c r="J117" s="4">
        <f>IF(F117&gt;C117,"Up",IF(F117&lt;C117,"Down","Flat"))</f>
        <v/>
      </c>
      <c r="K117" s="14" t="n">
        <v>40.95</v>
      </c>
      <c r="L117" s="15" t="n">
        <v>51.11</v>
      </c>
      <c r="M117" s="14" t="n">
        <v>1934.92</v>
      </c>
      <c r="N117" s="14" t="n">
        <v>1891.1</v>
      </c>
      <c r="O117" s="14" t="n"/>
      <c r="P117" s="4">
        <f>IF(O117="","",IF(F117&gt;O117,"Above","Below"))</f>
        <v/>
      </c>
      <c r="Q117" s="16" t="n">
        <v>150882</v>
      </c>
      <c r="R117" s="17" t="n">
        <v>0</v>
      </c>
      <c r="S117" s="17" t="n">
        <v>0</v>
      </c>
      <c r="T117" s="17" t="n">
        <v>0</v>
      </c>
      <c r="U117" s="18" t="n">
        <v>0</v>
      </c>
    </row>
    <row r="118">
      <c r="A118" s="13" t="n">
        <v>44641</v>
      </c>
      <c r="B118" s="4">
        <f>TEXT(A118,"ddd")</f>
        <v/>
      </c>
      <c r="C118" s="14" t="n">
        <v>1922.4</v>
      </c>
      <c r="D118" s="14" t="n">
        <v>1941.8</v>
      </c>
      <c r="E118" s="14" t="n">
        <v>1917.2</v>
      </c>
      <c r="F118" s="14" t="n">
        <v>1929.5</v>
      </c>
      <c r="G118" s="9">
        <f>F118-F117</f>
        <v/>
      </c>
      <c r="H118" s="10">
        <f>IF(F117=0,0,G118/F117)</f>
        <v/>
      </c>
      <c r="I118" s="8">
        <f>D118-E118</f>
        <v/>
      </c>
      <c r="J118" s="4">
        <f>IF(F118&gt;C118,"Up",IF(F118&lt;C118,"Down","Flat"))</f>
        <v/>
      </c>
      <c r="K118" s="14" t="n">
        <v>39.78</v>
      </c>
      <c r="L118" s="15" t="n">
        <v>51.14</v>
      </c>
      <c r="M118" s="14" t="n">
        <v>1934.4</v>
      </c>
      <c r="N118" s="14" t="n">
        <v>1892.6</v>
      </c>
      <c r="O118" s="14" t="n"/>
      <c r="P118" s="4">
        <f>IF(O118="","",IF(F118&gt;O118,"Above","Below"))</f>
        <v/>
      </c>
      <c r="Q118" s="16" t="n">
        <v>146411</v>
      </c>
      <c r="R118" s="17" t="n">
        <v>0</v>
      </c>
      <c r="S118" s="17" t="n">
        <v>0</v>
      </c>
      <c r="T118" s="17" t="n">
        <v>0</v>
      </c>
      <c r="U118" s="18" t="n">
        <v>0</v>
      </c>
    </row>
    <row r="119">
      <c r="A119" s="13" t="n">
        <v>44642</v>
      </c>
      <c r="B119" s="4">
        <f>TEXT(A119,"ddd")</f>
        <v/>
      </c>
      <c r="C119" s="14" t="n">
        <v>1936.1</v>
      </c>
      <c r="D119" s="14" t="n">
        <v>1939.5</v>
      </c>
      <c r="E119" s="14" t="n">
        <v>1909.8</v>
      </c>
      <c r="F119" s="14" t="n">
        <v>1921.5</v>
      </c>
      <c r="G119" s="9">
        <f>F119-F118</f>
        <v/>
      </c>
      <c r="H119" s="10">
        <f>IF(F118=0,0,G119/F118)</f>
        <v/>
      </c>
      <c r="I119" s="8">
        <f>D119-E119</f>
        <v/>
      </c>
      <c r="J119" s="4">
        <f>IF(F119&gt;C119,"Up",IF(F119&lt;C119,"Down","Flat"))</f>
        <v/>
      </c>
      <c r="K119" s="14" t="n">
        <v>39.06</v>
      </c>
      <c r="L119" s="15" t="n">
        <v>49.66</v>
      </c>
      <c r="M119" s="14" t="n">
        <v>1933.17</v>
      </c>
      <c r="N119" s="14" t="n">
        <v>1893.74</v>
      </c>
      <c r="O119" s="14" t="n"/>
      <c r="P119" s="4">
        <f>IF(O119="","",IF(F119&gt;O119,"Above","Below"))</f>
        <v/>
      </c>
      <c r="Q119" s="16" t="n">
        <v>153282</v>
      </c>
      <c r="R119" s="17" t="n">
        <v>0</v>
      </c>
      <c r="S119" s="17" t="n">
        <v>0</v>
      </c>
      <c r="T119" s="17" t="n">
        <v>0</v>
      </c>
      <c r="U119" s="18" t="n">
        <v>0</v>
      </c>
    </row>
    <row r="120">
      <c r="A120" s="13" t="n">
        <v>44643</v>
      </c>
      <c r="B120" s="4">
        <f>TEXT(A120,"ddd")</f>
        <v/>
      </c>
      <c r="C120" s="14" t="n">
        <v>1920.9</v>
      </c>
      <c r="D120" s="14" t="n">
        <v>1948.8</v>
      </c>
      <c r="E120" s="14" t="n">
        <v>1915.6</v>
      </c>
      <c r="F120" s="14" t="n">
        <v>1937.3</v>
      </c>
      <c r="G120" s="9">
        <f>F120-F119</f>
        <v/>
      </c>
      <c r="H120" s="10">
        <f>IF(F119=0,0,G120/F119)</f>
        <v/>
      </c>
      <c r="I120" s="8">
        <f>D120-E120</f>
        <v/>
      </c>
      <c r="J120" s="4">
        <f>IF(F120&gt;C120,"Up",IF(F120&lt;C120,"Down","Flat"))</f>
        <v/>
      </c>
      <c r="K120" s="14" t="n">
        <v>38.64</v>
      </c>
      <c r="L120" s="15" t="n">
        <v>52.58</v>
      </c>
      <c r="M120" s="14" t="n">
        <v>1933.57</v>
      </c>
      <c r="N120" s="14" t="n">
        <v>1895.44</v>
      </c>
      <c r="O120" s="14" t="n"/>
      <c r="P120" s="4">
        <f>IF(O120="","",IF(F120&gt;O120,"Above","Below"))</f>
        <v/>
      </c>
      <c r="Q120" s="16" t="n">
        <v>153306</v>
      </c>
      <c r="R120" s="17" t="n">
        <v>0</v>
      </c>
      <c r="S120" s="17" t="n">
        <v>0</v>
      </c>
      <c r="T120" s="17" t="n">
        <v>0</v>
      </c>
      <c r="U120" s="18" t="n">
        <v>0</v>
      </c>
    </row>
    <row r="121">
      <c r="A121" s="13" t="n">
        <v>44644</v>
      </c>
      <c r="B121" s="4">
        <f>TEXT(A121,"ddd")</f>
        <v/>
      </c>
      <c r="C121" s="14" t="n">
        <v>1944.1</v>
      </c>
      <c r="D121" s="14" t="n">
        <v>1967.2</v>
      </c>
      <c r="E121" s="14" t="n">
        <v>1937.4</v>
      </c>
      <c r="F121" s="14" t="n">
        <v>1962.2</v>
      </c>
      <c r="G121" s="9">
        <f>F121-F120</f>
        <v/>
      </c>
      <c r="H121" s="10">
        <f>IF(F120=0,0,G121/F120)</f>
        <v/>
      </c>
      <c r="I121" s="8">
        <f>D121-E121</f>
        <v/>
      </c>
      <c r="J121" s="4">
        <f>IF(F121&gt;C121,"Up",IF(F121&lt;C121,"Down","Flat"))</f>
        <v/>
      </c>
      <c r="K121" s="14" t="n">
        <v>38.02</v>
      </c>
      <c r="L121" s="15" t="n">
        <v>56.83</v>
      </c>
      <c r="M121" s="14" t="n">
        <v>1936.29</v>
      </c>
      <c r="N121" s="14" t="n">
        <v>1898.06</v>
      </c>
      <c r="O121" s="14" t="n"/>
      <c r="P121" s="4">
        <f>IF(O121="","",IF(F121&gt;O121,"Above","Below"))</f>
        <v/>
      </c>
      <c r="Q121" s="16" t="n">
        <v>181204</v>
      </c>
      <c r="R121" s="17" t="n">
        <v>0</v>
      </c>
      <c r="S121" s="17" t="n">
        <v>0</v>
      </c>
      <c r="T121" s="17" t="n">
        <v>0</v>
      </c>
      <c r="U121" s="18" t="n">
        <v>0</v>
      </c>
    </row>
    <row r="122">
      <c r="A122" s="13" t="n">
        <v>44645</v>
      </c>
      <c r="B122" s="4">
        <f>TEXT(A122,"ddd")</f>
        <v/>
      </c>
      <c r="C122" s="14" t="n">
        <v>1957.8</v>
      </c>
      <c r="D122" s="14" t="n">
        <v>1965.1</v>
      </c>
      <c r="E122" s="14" t="n">
        <v>1942.6</v>
      </c>
      <c r="F122" s="14" t="n">
        <v>1954.2</v>
      </c>
      <c r="G122" s="9">
        <f>F122-F121</f>
        <v/>
      </c>
      <c r="H122" s="10">
        <f>IF(F121=0,0,G122/F121)</f>
        <v/>
      </c>
      <c r="I122" s="8">
        <f>D122-E122</f>
        <v/>
      </c>
      <c r="J122" s="4">
        <f>IF(F122&gt;C122,"Up",IF(F122&lt;C122,"Down","Flat"))</f>
        <v/>
      </c>
      <c r="K122" s="14" t="n">
        <v>36.91</v>
      </c>
      <c r="L122" s="15" t="n">
        <v>55.12</v>
      </c>
      <c r="M122" s="14" t="n">
        <v>1938</v>
      </c>
      <c r="N122" s="14" t="n">
        <v>1900.26</v>
      </c>
      <c r="O122" s="14" t="n"/>
      <c r="P122" s="4">
        <f>IF(O122="","",IF(F122&gt;O122,"Above","Below"))</f>
        <v/>
      </c>
      <c r="Q122" s="16" t="n">
        <v>147904</v>
      </c>
      <c r="R122" s="17" t="n">
        <v>0</v>
      </c>
      <c r="S122" s="17" t="n">
        <v>0</v>
      </c>
      <c r="T122" s="17" t="n">
        <v>0</v>
      </c>
      <c r="U122" s="18" t="n">
        <v>0</v>
      </c>
    </row>
    <row r="123">
      <c r="A123" s="13" t="n">
        <v>44648</v>
      </c>
      <c r="B123" s="4">
        <f>TEXT(A123,"ddd")</f>
        <v/>
      </c>
      <c r="C123" s="14" t="n">
        <v>1958.7</v>
      </c>
      <c r="D123" s="14" t="n">
        <v>1959.8</v>
      </c>
      <c r="E123" s="14" t="n">
        <v>1915.7</v>
      </c>
      <c r="F123" s="14" t="n">
        <v>1939.8</v>
      </c>
      <c r="G123" s="9">
        <f>F123-F122</f>
        <v/>
      </c>
      <c r="H123" s="10">
        <f>IF(F122=0,0,G123/F122)</f>
        <v/>
      </c>
      <c r="I123" s="8">
        <f>D123-E123</f>
        <v/>
      </c>
      <c r="J123" s="4">
        <f>IF(F123&gt;C123,"Up",IF(F123&lt;C123,"Down","Flat"))</f>
        <v/>
      </c>
      <c r="K123" s="14" t="n">
        <v>37.42</v>
      </c>
      <c r="L123" s="15" t="n">
        <v>52.08</v>
      </c>
      <c r="M123" s="14" t="n">
        <v>1938.17</v>
      </c>
      <c r="N123" s="14" t="n">
        <v>1901.81</v>
      </c>
      <c r="O123" s="14" t="n"/>
      <c r="P123" s="4">
        <f>IF(O123="","",IF(F123&gt;O123,"Above","Below"))</f>
        <v/>
      </c>
      <c r="Q123" s="16" t="n">
        <v>181367</v>
      </c>
      <c r="R123" s="17" t="n">
        <v>0</v>
      </c>
      <c r="S123" s="17" t="n">
        <v>0</v>
      </c>
      <c r="T123" s="17" t="n">
        <v>0</v>
      </c>
      <c r="U123" s="18" t="n">
        <v>0</v>
      </c>
    </row>
    <row r="124">
      <c r="A124" s="13" t="n">
        <v>44649</v>
      </c>
      <c r="B124" s="4">
        <f>TEXT(A124,"ddd")</f>
        <v/>
      </c>
      <c r="C124" s="14" t="n">
        <v>1922.4</v>
      </c>
      <c r="D124" s="14" t="n">
        <v>1929.4</v>
      </c>
      <c r="E124" s="14" t="n">
        <v>1888.3</v>
      </c>
      <c r="F124" s="14" t="n">
        <v>1912.2</v>
      </c>
      <c r="G124" s="9">
        <f>F124-F123</f>
        <v/>
      </c>
      <c r="H124" s="10">
        <f>IF(F123=0,0,G124/F123)</f>
        <v/>
      </c>
      <c r="I124" s="8">
        <f>D124-E124</f>
        <v/>
      </c>
      <c r="J124" s="4">
        <f>IF(F124&gt;C124,"Up",IF(F124&lt;C124,"Down","Flat"))</f>
        <v/>
      </c>
      <c r="K124" s="14" t="n">
        <v>38.43</v>
      </c>
      <c r="L124" s="15" t="n">
        <v>46.77</v>
      </c>
      <c r="M124" s="14" t="n">
        <v>1935.7</v>
      </c>
      <c r="N124" s="14" t="n">
        <v>1902.22</v>
      </c>
      <c r="O124" s="14" t="n"/>
      <c r="P124" s="4">
        <f>IF(O124="","",IF(F124&gt;O124,"Above","Below"))</f>
        <v/>
      </c>
      <c r="Q124" s="16" t="n">
        <v>128051</v>
      </c>
      <c r="R124" s="17" t="n">
        <v>0</v>
      </c>
      <c r="S124" s="17" t="n">
        <v>0</v>
      </c>
      <c r="T124" s="17" t="n">
        <v>0</v>
      </c>
      <c r="U124" s="18" t="n">
        <v>0</v>
      </c>
    </row>
    <row r="125">
      <c r="A125" s="13" t="n">
        <v>44650</v>
      </c>
      <c r="B125" s="4">
        <f>TEXT(A125,"ddd")</f>
        <v/>
      </c>
      <c r="C125" s="14" t="n">
        <v>1918.4</v>
      </c>
      <c r="D125" s="14" t="n">
        <v>1937</v>
      </c>
      <c r="E125" s="14" t="n">
        <v>1914.5</v>
      </c>
      <c r="F125" s="14" t="n">
        <v>1933.5</v>
      </c>
      <c r="G125" s="9">
        <f>F125-F124</f>
        <v/>
      </c>
      <c r="H125" s="10">
        <f>IF(F124=0,0,G125/F124)</f>
        <v/>
      </c>
      <c r="I125" s="8">
        <f>D125-E125</f>
        <v/>
      </c>
      <c r="J125" s="4">
        <f>IF(F125&gt;C125,"Up",IF(F125&lt;C125,"Down","Flat"))</f>
        <v/>
      </c>
      <c r="K125" s="14" t="n">
        <v>37.46</v>
      </c>
      <c r="L125" s="15" t="n">
        <v>50.93</v>
      </c>
      <c r="M125" s="14" t="n">
        <v>1935.49</v>
      </c>
      <c r="N125" s="14" t="n">
        <v>1903.45</v>
      </c>
      <c r="O125" s="14" t="n"/>
      <c r="P125" s="4">
        <f>IF(O125="","",IF(F125&gt;O125,"Above","Below"))</f>
        <v/>
      </c>
      <c r="Q125" s="16" t="n">
        <v>17765</v>
      </c>
      <c r="R125" s="17" t="n">
        <v>0</v>
      </c>
      <c r="S125" s="17" t="n">
        <v>0</v>
      </c>
      <c r="T125" s="17" t="n">
        <v>0</v>
      </c>
      <c r="U125" s="18" t="n">
        <v>0</v>
      </c>
    </row>
    <row r="126">
      <c r="A126" s="13" t="n">
        <v>44651</v>
      </c>
      <c r="B126" s="4">
        <f>TEXT(A126,"ddd")</f>
        <v/>
      </c>
      <c r="C126" s="14" t="n">
        <v>1933.5</v>
      </c>
      <c r="D126" s="14" t="n">
        <v>1949.9</v>
      </c>
      <c r="E126" s="14" t="n">
        <v>1919.1</v>
      </c>
      <c r="F126" s="14" t="n">
        <v>1949.2</v>
      </c>
      <c r="G126" s="9">
        <f>F126-F125</f>
        <v/>
      </c>
      <c r="H126" s="10">
        <f>IF(F125=0,0,G126/F125)</f>
        <v/>
      </c>
      <c r="I126" s="8">
        <f>D126-E126</f>
        <v/>
      </c>
      <c r="J126" s="4">
        <f>IF(F126&gt;C126,"Up",IF(F126&lt;C126,"Down","Flat"))</f>
        <v/>
      </c>
      <c r="K126" s="14" t="n">
        <v>36.98</v>
      </c>
      <c r="L126" s="15" t="n">
        <v>53.8</v>
      </c>
      <c r="M126" s="14" t="n">
        <v>1936.79</v>
      </c>
      <c r="N126" s="14" t="n">
        <v>1905.24</v>
      </c>
      <c r="O126" s="14" t="n"/>
      <c r="P126" s="4">
        <f>IF(O126="","",IF(F126&gt;O126,"Above","Below"))</f>
        <v/>
      </c>
      <c r="Q126" s="16" t="n">
        <v>155299</v>
      </c>
      <c r="R126" s="17" t="n">
        <v>0</v>
      </c>
      <c r="S126" s="17" t="n">
        <v>0</v>
      </c>
      <c r="T126" s="17" t="n">
        <v>0</v>
      </c>
      <c r="U126" s="18" t="n">
        <v>0</v>
      </c>
    </row>
    <row r="127">
      <c r="A127" s="13" t="n">
        <v>44652</v>
      </c>
      <c r="B127" s="4">
        <f>TEXT(A127,"ddd")</f>
        <v/>
      </c>
      <c r="C127" s="14" t="n">
        <v>1942.4</v>
      </c>
      <c r="D127" s="14" t="n">
        <v>1944.5</v>
      </c>
      <c r="E127" s="14" t="n">
        <v>1921.4</v>
      </c>
      <c r="F127" s="14" t="n">
        <v>1923.7</v>
      </c>
      <c r="G127" s="9">
        <f>F127-F126</f>
        <v/>
      </c>
      <c r="H127" s="10">
        <f>IF(F126=0,0,G127/F126)</f>
        <v/>
      </c>
      <c r="I127" s="8">
        <f>D127-E127</f>
        <v/>
      </c>
      <c r="J127" s="4">
        <f>IF(F127&gt;C127,"Up",IF(F127&lt;C127,"Down","Flat"))</f>
        <v/>
      </c>
      <c r="K127" s="14" t="n">
        <v>36.32</v>
      </c>
      <c r="L127" s="15" t="n">
        <v>48.81</v>
      </c>
      <c r="M127" s="14" t="n">
        <v>1935.55</v>
      </c>
      <c r="N127" s="14" t="n">
        <v>1905.97</v>
      </c>
      <c r="O127" s="14" t="n"/>
      <c r="P127" s="4">
        <f>IF(O127="","",IF(F127&gt;O127,"Above","Below"))</f>
        <v/>
      </c>
      <c r="Q127" s="16" t="n">
        <v>135154</v>
      </c>
      <c r="R127" s="17" t="n">
        <v>0</v>
      </c>
      <c r="S127" s="17" t="n">
        <v>0</v>
      </c>
      <c r="T127" s="17" t="n">
        <v>0</v>
      </c>
      <c r="U127" s="18" t="n">
        <v>0</v>
      </c>
    </row>
    <row r="128">
      <c r="A128" s="13" t="n">
        <v>44655</v>
      </c>
      <c r="B128" s="4">
        <f>TEXT(A128,"ddd")</f>
        <v/>
      </c>
      <c r="C128" s="14" t="n">
        <v>1927.1</v>
      </c>
      <c r="D128" s="14" t="n">
        <v>1941.6</v>
      </c>
      <c r="E128" s="14" t="n">
        <v>1918.2</v>
      </c>
      <c r="F128" s="14" t="n">
        <v>1934</v>
      </c>
      <c r="G128" s="9">
        <f>F128-F127</f>
        <v/>
      </c>
      <c r="H128" s="10">
        <f>IF(F127=0,0,G128/F127)</f>
        <v/>
      </c>
      <c r="I128" s="8">
        <f>D128-E128</f>
        <v/>
      </c>
      <c r="J128" s="4">
        <f>IF(F128&gt;C128,"Up",IF(F128&lt;C128,"Down","Flat"))</f>
        <v/>
      </c>
      <c r="K128" s="14" t="n">
        <v>35.4</v>
      </c>
      <c r="L128" s="15" t="n">
        <v>50.79</v>
      </c>
      <c r="M128" s="14" t="n">
        <v>1935.4</v>
      </c>
      <c r="N128" s="14" t="n">
        <v>1907.07</v>
      </c>
      <c r="O128" s="14" t="n"/>
      <c r="P128" s="4">
        <f>IF(O128="","",IF(F128&gt;O128,"Above","Below"))</f>
        <v/>
      </c>
      <c r="Q128" s="16" t="n">
        <v>108435</v>
      </c>
      <c r="R128" s="17" t="n">
        <v>0</v>
      </c>
      <c r="S128" s="17" t="n">
        <v>0</v>
      </c>
      <c r="T128" s="17" t="n">
        <v>0</v>
      </c>
      <c r="U128" s="18" t="n">
        <v>0</v>
      </c>
    </row>
    <row r="129">
      <c r="A129" s="13" t="n">
        <v>44656</v>
      </c>
      <c r="B129" s="4">
        <f>TEXT(A129,"ddd")</f>
        <v/>
      </c>
      <c r="C129" s="14" t="n">
        <v>1937.3</v>
      </c>
      <c r="D129" s="14" t="n">
        <v>1948.9</v>
      </c>
      <c r="E129" s="14" t="n">
        <v>1920.9</v>
      </c>
      <c r="F129" s="14" t="n">
        <v>1927.5</v>
      </c>
      <c r="G129" s="9">
        <f>F129-F128</f>
        <v/>
      </c>
      <c r="H129" s="10">
        <f>IF(F128=0,0,G129/F128)</f>
        <v/>
      </c>
      <c r="I129" s="8">
        <f>D129-E129</f>
        <v/>
      </c>
      <c r="J129" s="4">
        <f>IF(F129&gt;C129,"Up",IF(F129&lt;C129,"Down","Flat"))</f>
        <v/>
      </c>
      <c r="K129" s="14" t="n">
        <v>34.87</v>
      </c>
      <c r="L129" s="15" t="n">
        <v>49.49</v>
      </c>
      <c r="M129" s="14" t="n">
        <v>1934.65</v>
      </c>
      <c r="N129" s="14" t="n">
        <v>1907.87</v>
      </c>
      <c r="O129" s="14" t="n"/>
      <c r="P129" s="4">
        <f>IF(O129="","",IF(F129&gt;O129,"Above","Below"))</f>
        <v/>
      </c>
      <c r="Q129" s="16" t="n">
        <v>147256</v>
      </c>
      <c r="R129" s="17" t="n">
        <v>0</v>
      </c>
      <c r="S129" s="17" t="n">
        <v>0</v>
      </c>
      <c r="T129" s="17" t="n">
        <v>0</v>
      </c>
      <c r="U129" s="18" t="n">
        <v>0</v>
      </c>
    </row>
    <row r="130">
      <c r="A130" s="13" t="n">
        <v>44657</v>
      </c>
      <c r="B130" s="4">
        <f>TEXT(A130,"ddd")</f>
        <v/>
      </c>
      <c r="C130" s="14" t="n">
        <v>1927.6</v>
      </c>
      <c r="D130" s="14" t="n">
        <v>1937.6</v>
      </c>
      <c r="E130" s="14" t="n">
        <v>1916.2</v>
      </c>
      <c r="F130" s="14" t="n">
        <v>1923.1</v>
      </c>
      <c r="G130" s="9">
        <f>F130-F129</f>
        <v/>
      </c>
      <c r="H130" s="10">
        <f>IF(F129=0,0,G130/F129)</f>
        <v/>
      </c>
      <c r="I130" s="8">
        <f>D130-E130</f>
        <v/>
      </c>
      <c r="J130" s="4">
        <f>IF(F130&gt;C130,"Up",IF(F130&lt;C130,"Down","Flat"))</f>
        <v/>
      </c>
      <c r="K130" s="14" t="n">
        <v>33.91</v>
      </c>
      <c r="L130" s="15" t="n">
        <v>48.58</v>
      </c>
      <c r="M130" s="14" t="n">
        <v>1933.55</v>
      </c>
      <c r="N130" s="14" t="n">
        <v>1908.46</v>
      </c>
      <c r="O130" s="14" t="n"/>
      <c r="P130" s="4">
        <f>IF(O130="","",IF(F130&gt;O130,"Above","Below"))</f>
        <v/>
      </c>
      <c r="Q130" s="16" t="n">
        <v>153971</v>
      </c>
      <c r="R130" s="17" t="n">
        <v>0</v>
      </c>
      <c r="S130" s="17" t="n">
        <v>0</v>
      </c>
      <c r="T130" s="17" t="n">
        <v>0</v>
      </c>
      <c r="U130" s="18" t="n">
        <v>0</v>
      </c>
    </row>
    <row r="131">
      <c r="A131" s="13" t="n">
        <v>44658</v>
      </c>
      <c r="B131" s="4">
        <f>TEXT(A131,"ddd")</f>
        <v/>
      </c>
      <c r="C131" s="14" t="n">
        <v>1928.1</v>
      </c>
      <c r="D131" s="14" t="n">
        <v>1941.7</v>
      </c>
      <c r="E131" s="14" t="n">
        <v>1923.3</v>
      </c>
      <c r="F131" s="14" t="n">
        <v>1937.8</v>
      </c>
      <c r="G131" s="9">
        <f>F131-F130</f>
        <v/>
      </c>
      <c r="H131" s="10">
        <f>IF(F130=0,0,G131/F130)</f>
        <v/>
      </c>
      <c r="I131" s="8">
        <f>D131-E131</f>
        <v/>
      </c>
      <c r="J131" s="4">
        <f>IF(F131&gt;C131,"Up",IF(F131&lt;C131,"Down","Flat"))</f>
        <v/>
      </c>
      <c r="K131" s="14" t="n">
        <v>32.82</v>
      </c>
      <c r="L131" s="15" t="n">
        <v>51.77</v>
      </c>
      <c r="M131" s="14" t="n">
        <v>1933.95</v>
      </c>
      <c r="N131" s="14" t="n">
        <v>1909.61</v>
      </c>
      <c r="O131" s="14" t="n"/>
      <c r="P131" s="4">
        <f>IF(O131="","",IF(F131&gt;O131,"Above","Below"))</f>
        <v/>
      </c>
      <c r="Q131" s="16" t="n">
        <v>122809</v>
      </c>
      <c r="R131" s="17" t="n">
        <v>0</v>
      </c>
      <c r="S131" s="17" t="n">
        <v>0</v>
      </c>
      <c r="T131" s="17" t="n">
        <v>0</v>
      </c>
      <c r="U131" s="18" t="n">
        <v>0</v>
      </c>
    </row>
    <row r="132">
      <c r="A132" s="13" t="n">
        <v>44659</v>
      </c>
      <c r="B132" s="4">
        <f>TEXT(A132,"ddd")</f>
        <v/>
      </c>
      <c r="C132" s="14" t="n">
        <v>1934.3</v>
      </c>
      <c r="D132" s="14" t="n">
        <v>1952.2</v>
      </c>
      <c r="E132" s="14" t="n">
        <v>1930.4</v>
      </c>
      <c r="F132" s="14" t="n">
        <v>1945.6</v>
      </c>
      <c r="G132" s="9">
        <f>F132-F131</f>
        <v/>
      </c>
      <c r="H132" s="10">
        <f>IF(F131=0,0,G132/F131)</f>
        <v/>
      </c>
      <c r="I132" s="8">
        <f>D132-E132</f>
        <v/>
      </c>
      <c r="J132" s="4">
        <f>IF(F132&gt;C132,"Up",IF(F132&lt;C132,"Down","Flat"))</f>
        <v/>
      </c>
      <c r="K132" s="14" t="n">
        <v>32.03</v>
      </c>
      <c r="L132" s="15" t="n">
        <v>53.42</v>
      </c>
      <c r="M132" s="14" t="n">
        <v>1935.06</v>
      </c>
      <c r="N132" s="14" t="n">
        <v>1911.03</v>
      </c>
      <c r="O132" s="14" t="n"/>
      <c r="P132" s="4">
        <f>IF(O132="","",IF(F132&gt;O132,"Above","Below"))</f>
        <v/>
      </c>
      <c r="Q132" s="16" t="n">
        <v>142498</v>
      </c>
      <c r="R132" s="17" t="n">
        <v>0</v>
      </c>
      <c r="S132" s="17" t="n">
        <v>0</v>
      </c>
      <c r="T132" s="17" t="n">
        <v>0</v>
      </c>
      <c r="U132" s="18" t="n">
        <v>0</v>
      </c>
    </row>
    <row r="133">
      <c r="A133" s="13" t="n">
        <v>44662</v>
      </c>
      <c r="B133" s="4">
        <f>TEXT(A133,"ddd")</f>
        <v/>
      </c>
      <c r="C133" s="14" t="n">
        <v>1949.6</v>
      </c>
      <c r="D133" s="14" t="n">
        <v>1974.6</v>
      </c>
      <c r="E133" s="14" t="n">
        <v>1942.9</v>
      </c>
      <c r="F133" s="14" t="n">
        <v>1948.2</v>
      </c>
      <c r="G133" s="9">
        <f>F133-F132</f>
        <v/>
      </c>
      <c r="H133" s="10">
        <f>IF(F132=0,0,G133/F132)</f>
        <v/>
      </c>
      <c r="I133" s="8">
        <f>D133-E133</f>
        <v/>
      </c>
      <c r="J133" s="4">
        <f>IF(F133&gt;C133,"Up",IF(F133&lt;C133,"Down","Flat"))</f>
        <v/>
      </c>
      <c r="K133" s="14" t="n">
        <v>32.01</v>
      </c>
      <c r="L133" s="15" t="n">
        <v>53.99</v>
      </c>
      <c r="M133" s="14" t="n">
        <v>1936.31</v>
      </c>
      <c r="N133" s="14" t="n">
        <v>1912.48</v>
      </c>
      <c r="O133" s="14" t="n"/>
      <c r="P133" s="4">
        <f>IF(O133="","",IF(F133&gt;O133,"Above","Below"))</f>
        <v/>
      </c>
      <c r="Q133" s="16" t="n">
        <v>184385</v>
      </c>
      <c r="R133" s="17" t="n">
        <v>0</v>
      </c>
      <c r="S133" s="17" t="n">
        <v>0</v>
      </c>
      <c r="T133" s="17" t="n">
        <v>0</v>
      </c>
      <c r="U133" s="18" t="n">
        <v>0</v>
      </c>
    </row>
    <row r="134">
      <c r="A134" s="13" t="n">
        <v>44663</v>
      </c>
      <c r="B134" s="4">
        <f>TEXT(A134,"ddd")</f>
        <v/>
      </c>
      <c r="C134" s="14" t="n">
        <v>1957.4</v>
      </c>
      <c r="D134" s="14" t="n">
        <v>1982.7</v>
      </c>
      <c r="E134" s="14" t="n">
        <v>1953</v>
      </c>
      <c r="F134" s="14" t="n">
        <v>1976.1</v>
      </c>
      <c r="G134" s="9">
        <f>F134-F133</f>
        <v/>
      </c>
      <c r="H134" s="10">
        <f>IF(F133=0,0,G134/F133)</f>
        <v/>
      </c>
      <c r="I134" s="8">
        <f>D134-E134</f>
        <v/>
      </c>
      <c r="J134" s="4">
        <f>IF(F134&gt;C134,"Up",IF(F134&lt;C134,"Down","Flat"))</f>
        <v/>
      </c>
      <c r="K134" s="14" t="n">
        <v>32.18</v>
      </c>
      <c r="L134" s="15" t="n">
        <v>59.64</v>
      </c>
      <c r="M134" s="14" t="n">
        <v>1940.1</v>
      </c>
      <c r="N134" s="14" t="n">
        <v>1914.98</v>
      </c>
      <c r="O134" s="14" t="n"/>
      <c r="P134" s="4">
        <f>IF(O134="","",IF(F134&gt;O134,"Above","Below"))</f>
        <v/>
      </c>
      <c r="Q134" s="16" t="n">
        <v>172386</v>
      </c>
      <c r="R134" s="17" t="n">
        <v>0</v>
      </c>
      <c r="S134" s="17" t="n">
        <v>0</v>
      </c>
      <c r="T134" s="17" t="n">
        <v>0</v>
      </c>
      <c r="U134" s="18" t="n">
        <v>0</v>
      </c>
    </row>
    <row r="135">
      <c r="A135" s="13" t="n">
        <v>44664</v>
      </c>
      <c r="B135" s="4">
        <f>TEXT(A135,"ddd")</f>
        <v/>
      </c>
      <c r="C135" s="14" t="n">
        <v>1970.5</v>
      </c>
      <c r="D135" s="14" t="n">
        <v>1985.8</v>
      </c>
      <c r="E135" s="14" t="n">
        <v>1966.3</v>
      </c>
      <c r="F135" s="14" t="n">
        <v>1984.7</v>
      </c>
      <c r="G135" s="9">
        <f>F135-F134</f>
        <v/>
      </c>
      <c r="H135" s="10">
        <f>IF(F134=0,0,G135/F134)</f>
        <v/>
      </c>
      <c r="I135" s="8">
        <f>D135-E135</f>
        <v/>
      </c>
      <c r="J135" s="4">
        <f>IF(F135&gt;C135,"Up",IF(F135&lt;C135,"Down","Flat"))</f>
        <v/>
      </c>
      <c r="K135" s="14" t="n">
        <v>31.28</v>
      </c>
      <c r="L135" s="15" t="n">
        <v>61.23</v>
      </c>
      <c r="M135" s="14" t="n">
        <v>1944.35</v>
      </c>
      <c r="N135" s="14" t="n">
        <v>1917.71</v>
      </c>
      <c r="O135" s="14" t="n"/>
      <c r="P135" s="4">
        <f>IF(O135="","",IF(F135&gt;O135,"Above","Below"))</f>
        <v/>
      </c>
      <c r="Q135" s="16" t="n">
        <v>132029</v>
      </c>
      <c r="R135" s="17" t="n">
        <v>0</v>
      </c>
      <c r="S135" s="17" t="n">
        <v>0</v>
      </c>
      <c r="T135" s="17" t="n">
        <v>0</v>
      </c>
      <c r="U135" s="18" t="n">
        <v>0</v>
      </c>
    </row>
    <row r="136">
      <c r="A136" s="13" t="n">
        <v>44665</v>
      </c>
      <c r="B136" s="4">
        <f>TEXT(A136,"ddd")</f>
        <v/>
      </c>
      <c r="C136" s="14" t="n">
        <v>1981.6</v>
      </c>
      <c r="D136" s="14" t="n">
        <v>1984</v>
      </c>
      <c r="E136" s="14" t="n">
        <v>1962.7</v>
      </c>
      <c r="F136" s="14" t="n">
        <v>1974.9</v>
      </c>
      <c r="G136" s="9">
        <f>F136-F135</f>
        <v/>
      </c>
      <c r="H136" s="10">
        <f>IF(F135=0,0,G136/F135)</f>
        <v/>
      </c>
      <c r="I136" s="8">
        <f>D136-E136</f>
        <v/>
      </c>
      <c r="J136" s="4">
        <f>IF(F136&gt;C136,"Up",IF(F136&lt;C136,"Down","Flat"))</f>
        <v/>
      </c>
      <c r="K136" s="14" t="n">
        <v>30.62</v>
      </c>
      <c r="L136" s="15" t="n">
        <v>58.42</v>
      </c>
      <c r="M136" s="14" t="n">
        <v>1947.26</v>
      </c>
      <c r="N136" s="14" t="n">
        <v>1919.96</v>
      </c>
      <c r="O136" s="14" t="n"/>
      <c r="P136" s="4">
        <f>IF(O136="","",IF(F136&gt;O136,"Above","Below"))</f>
        <v/>
      </c>
      <c r="Q136" s="16" t="n">
        <v>139424</v>
      </c>
      <c r="R136" s="17" t="n">
        <v>0</v>
      </c>
      <c r="S136" s="17" t="n">
        <v>0</v>
      </c>
      <c r="T136" s="17" t="n">
        <v>0</v>
      </c>
      <c r="U136" s="18" t="n">
        <v>0</v>
      </c>
    </row>
    <row r="137">
      <c r="A137" s="13" t="n">
        <v>44669</v>
      </c>
      <c r="B137" s="4">
        <f>TEXT(A137,"ddd")</f>
        <v/>
      </c>
      <c r="C137" s="14" t="n">
        <v>1978.5</v>
      </c>
      <c r="D137" s="14" t="n">
        <v>2003</v>
      </c>
      <c r="E137" s="14" t="n">
        <v>1974.4</v>
      </c>
      <c r="F137" s="14" t="n">
        <v>1986.4</v>
      </c>
      <c r="G137" s="9">
        <f>F137-F136</f>
        <v/>
      </c>
      <c r="H137" s="10">
        <f>IF(F136=0,0,G137/F136)</f>
        <v/>
      </c>
      <c r="I137" s="8">
        <f>D137-E137</f>
        <v/>
      </c>
      <c r="J137" s="4">
        <f>IF(F137&gt;C137,"Up",IF(F137&lt;C137,"Down","Flat"))</f>
        <v/>
      </c>
      <c r="K137" s="14" t="n">
        <v>30.47</v>
      </c>
      <c r="L137" s="15" t="n">
        <v>60.7</v>
      </c>
      <c r="M137" s="14" t="n">
        <v>1950.99</v>
      </c>
      <c r="N137" s="14" t="n">
        <v>1922.56</v>
      </c>
      <c r="O137" s="14" t="n"/>
      <c r="P137" s="4">
        <f>IF(O137="","",IF(F137&gt;O137,"Above","Below"))</f>
        <v/>
      </c>
      <c r="Q137" s="16" t="n">
        <v>138130</v>
      </c>
      <c r="R137" s="17" t="n">
        <v>0</v>
      </c>
      <c r="S137" s="17" t="n">
        <v>0</v>
      </c>
      <c r="T137" s="17" t="n">
        <v>0</v>
      </c>
      <c r="U137" s="18" t="n">
        <v>0</v>
      </c>
    </row>
    <row r="138">
      <c r="A138" s="13" t="n">
        <v>44670</v>
      </c>
      <c r="B138" s="4">
        <f>TEXT(A138,"ddd")</f>
        <v/>
      </c>
      <c r="C138" s="14" t="n">
        <v>1981.2</v>
      </c>
      <c r="D138" s="14" t="n">
        <v>1985.1</v>
      </c>
      <c r="E138" s="14" t="n">
        <v>1945.5</v>
      </c>
      <c r="F138" s="14" t="n">
        <v>1959</v>
      </c>
      <c r="G138" s="9">
        <f>F138-F137</f>
        <v/>
      </c>
      <c r="H138" s="10">
        <f>IF(F137=0,0,G138/F137)</f>
        <v/>
      </c>
      <c r="I138" s="8">
        <f>D138-E138</f>
        <v/>
      </c>
      <c r="J138" s="4">
        <f>IF(F138&gt;C138,"Up",IF(F138&lt;C138,"Down","Flat"))</f>
        <v/>
      </c>
      <c r="K138" s="14" t="n">
        <v>31.22</v>
      </c>
      <c r="L138" s="15" t="n">
        <v>53.21</v>
      </c>
      <c r="M138" s="14" t="n">
        <v>1951.75</v>
      </c>
      <c r="N138" s="14" t="n">
        <v>1923.99</v>
      </c>
      <c r="O138" s="14" t="n"/>
      <c r="P138" s="4">
        <f>IF(O138="","",IF(F138&gt;O138,"Above","Below"))</f>
        <v/>
      </c>
      <c r="Q138" s="16" t="n">
        <v>181440</v>
      </c>
      <c r="R138" s="17" t="n">
        <v>0</v>
      </c>
      <c r="S138" s="17" t="n">
        <v>0</v>
      </c>
      <c r="T138" s="17" t="n">
        <v>0</v>
      </c>
      <c r="U138" s="18" t="n">
        <v>0</v>
      </c>
    </row>
    <row r="139">
      <c r="A139" s="13" t="n">
        <v>44671</v>
      </c>
      <c r="B139" s="4">
        <f>TEXT(A139,"ddd")</f>
        <v/>
      </c>
      <c r="C139" s="14" t="n">
        <v>1952.7</v>
      </c>
      <c r="D139" s="14" t="n">
        <v>1960.9</v>
      </c>
      <c r="E139" s="14" t="n">
        <v>1941</v>
      </c>
      <c r="F139" s="14" t="n">
        <v>1955.6</v>
      </c>
      <c r="G139" s="9">
        <f>F139-F138</f>
        <v/>
      </c>
      <c r="H139" s="10">
        <f>IF(F138=0,0,G139/F138)</f>
        <v/>
      </c>
      <c r="I139" s="8">
        <f>D139-E139</f>
        <v/>
      </c>
      <c r="J139" s="4">
        <f>IF(F139&gt;C139,"Up",IF(F139&lt;C139,"Down","Flat"))</f>
        <v/>
      </c>
      <c r="K139" s="14" t="n">
        <v>30.41</v>
      </c>
      <c r="L139" s="15" t="n">
        <v>52.34</v>
      </c>
      <c r="M139" s="14" t="n">
        <v>1952.12</v>
      </c>
      <c r="N139" s="14" t="n">
        <v>1925.23</v>
      </c>
      <c r="O139" s="14" t="n"/>
      <c r="P139" s="4">
        <f>IF(O139="","",IF(F139&gt;O139,"Above","Below"))</f>
        <v/>
      </c>
      <c r="Q139" s="16" t="n">
        <v>139507</v>
      </c>
      <c r="R139" s="17" t="n">
        <v>0</v>
      </c>
      <c r="S139" s="17" t="n">
        <v>0</v>
      </c>
      <c r="T139" s="17" t="n">
        <v>0</v>
      </c>
      <c r="U139" s="18" t="n">
        <v>0</v>
      </c>
    </row>
    <row r="140">
      <c r="A140" s="13" t="n">
        <v>44672</v>
      </c>
      <c r="B140" s="4">
        <f>TEXT(A140,"ddd")</f>
        <v/>
      </c>
      <c r="C140" s="14" t="n">
        <v>1960</v>
      </c>
      <c r="D140" s="14" t="n">
        <v>1960.1</v>
      </c>
      <c r="E140" s="14" t="n">
        <v>1938</v>
      </c>
      <c r="F140" s="14" t="n">
        <v>1948.2</v>
      </c>
      <c r="G140" s="9">
        <f>F140-F139</f>
        <v/>
      </c>
      <c r="H140" s="10">
        <f>IF(F139=0,0,G140/F139)</f>
        <v/>
      </c>
      <c r="I140" s="8">
        <f>D140-E140</f>
        <v/>
      </c>
      <c r="J140" s="4">
        <f>IF(F140&gt;C140,"Up",IF(F140&lt;C140,"Down","Flat"))</f>
        <v/>
      </c>
      <c r="K140" s="14" t="n">
        <v>29.81</v>
      </c>
      <c r="L140" s="15" t="n">
        <v>50.43</v>
      </c>
      <c r="M140" s="14" t="n">
        <v>1951.74</v>
      </c>
      <c r="N140" s="14" t="n">
        <v>1926.13</v>
      </c>
      <c r="O140" s="14" t="n"/>
      <c r="P140" s="4">
        <f>IF(O140="","",IF(F140&gt;O140,"Above","Below"))</f>
        <v/>
      </c>
      <c r="Q140" s="16" t="n">
        <v>154919</v>
      </c>
      <c r="R140" s="17" t="n">
        <v>0</v>
      </c>
      <c r="S140" s="17" t="n">
        <v>0</v>
      </c>
      <c r="T140" s="17" t="n">
        <v>0</v>
      </c>
      <c r="U140" s="18" t="n">
        <v>0</v>
      </c>
    </row>
    <row r="141">
      <c r="A141" s="13" t="n">
        <v>44673</v>
      </c>
      <c r="B141" s="4">
        <f>TEXT(A141,"ddd")</f>
        <v/>
      </c>
      <c r="C141" s="14" t="n">
        <v>1953.1</v>
      </c>
      <c r="D141" s="14" t="n">
        <v>1957.8</v>
      </c>
      <c r="E141" s="14" t="n">
        <v>1928</v>
      </c>
      <c r="F141" s="14" t="n">
        <v>1934.3</v>
      </c>
      <c r="G141" s="9">
        <f>F141-F140</f>
        <v/>
      </c>
      <c r="H141" s="10">
        <f>IF(F140=0,0,G141/F140)</f>
        <v/>
      </c>
      <c r="I141" s="8">
        <f>D141-E141</f>
        <v/>
      </c>
      <c r="J141" s="4">
        <f>IF(F141&gt;C141,"Up",IF(F141&lt;C141,"Down","Flat"))</f>
        <v/>
      </c>
      <c r="K141" s="14" t="n">
        <v>29.81</v>
      </c>
      <c r="L141" s="15" t="n">
        <v>46.95</v>
      </c>
      <c r="M141" s="14" t="n">
        <v>1950.08</v>
      </c>
      <c r="N141" s="14" t="n">
        <v>1926.45</v>
      </c>
      <c r="O141" s="14" t="n"/>
      <c r="P141" s="4">
        <f>IF(O141="","",IF(F141&gt;O141,"Above","Below"))</f>
        <v/>
      </c>
      <c r="Q141" s="16" t="n">
        <v>176681</v>
      </c>
      <c r="R141" s="17" t="n">
        <v>0</v>
      </c>
      <c r="S141" s="17" t="n">
        <v>0</v>
      </c>
      <c r="T141" s="17" t="n">
        <v>0</v>
      </c>
      <c r="U141" s="18" t="n">
        <v>0</v>
      </c>
    </row>
    <row r="142">
      <c r="A142" s="13" t="n">
        <v>44676</v>
      </c>
      <c r="B142" s="4">
        <f>TEXT(A142,"ddd")</f>
        <v/>
      </c>
      <c r="C142" s="14" t="n">
        <v>1931.9</v>
      </c>
      <c r="D142" s="14" t="n">
        <v>1935.5</v>
      </c>
      <c r="E142" s="14" t="n">
        <v>1891.8</v>
      </c>
      <c r="F142" s="14" t="n">
        <v>1896</v>
      </c>
      <c r="G142" s="9">
        <f>F142-F141</f>
        <v/>
      </c>
      <c r="H142" s="10">
        <f>IF(F141=0,0,G142/F141)</f>
        <v/>
      </c>
      <c r="I142" s="8">
        <f>D142-E142</f>
        <v/>
      </c>
      <c r="J142" s="4">
        <f>IF(F142&gt;C142,"Up",IF(F142&lt;C142,"Down","Flat"))</f>
        <v/>
      </c>
      <c r="K142" s="14" t="n">
        <v>30.81</v>
      </c>
      <c r="L142" s="15" t="n">
        <v>38.97</v>
      </c>
      <c r="M142" s="14" t="n">
        <v>1944.93</v>
      </c>
      <c r="N142" s="14" t="n">
        <v>1925.26</v>
      </c>
      <c r="O142" s="14" t="n"/>
      <c r="P142" s="4">
        <f>IF(O142="","",IF(F142&gt;O142,"Above","Below"))</f>
        <v/>
      </c>
      <c r="Q142" s="16" t="n">
        <v>231494</v>
      </c>
      <c r="R142" s="17" t="n">
        <v>0</v>
      </c>
      <c r="S142" s="17" t="n">
        <v>0</v>
      </c>
      <c r="T142" s="17" t="n">
        <v>0</v>
      </c>
      <c r="U142" s="18" t="n">
        <v>0</v>
      </c>
    </row>
    <row r="143">
      <c r="A143" s="13" t="n">
        <v>44677</v>
      </c>
      <c r="B143" s="4">
        <f>TEXT(A143,"ddd")</f>
        <v/>
      </c>
      <c r="C143" s="14" t="n">
        <v>1899.8</v>
      </c>
      <c r="D143" s="14" t="n">
        <v>1912.2</v>
      </c>
      <c r="E143" s="14" t="n">
        <v>1896.3</v>
      </c>
      <c r="F143" s="14" t="n">
        <v>1904.1</v>
      </c>
      <c r="G143" s="9">
        <f>F143-F142</f>
        <v/>
      </c>
      <c r="H143" s="10">
        <f>IF(F142=0,0,G143/F142)</f>
        <v/>
      </c>
      <c r="I143" s="8">
        <f>D143-E143</f>
        <v/>
      </c>
      <c r="J143" s="4">
        <f>IF(F143&gt;C143,"Up",IF(F143&lt;C143,"Down","Flat"))</f>
        <v/>
      </c>
      <c r="K143" s="14" t="n">
        <v>29.76</v>
      </c>
      <c r="L143" s="15" t="n">
        <v>41.24</v>
      </c>
      <c r="M143" s="14" t="n">
        <v>1941.04</v>
      </c>
      <c r="N143" s="14" t="n">
        <v>1924.43</v>
      </c>
      <c r="O143" s="14" t="n"/>
      <c r="P143" s="4">
        <f>IF(O143="","",IF(F143&gt;O143,"Above","Below"))</f>
        <v/>
      </c>
      <c r="Q143" s="16" t="n">
        <v>166199</v>
      </c>
      <c r="R143" s="17" t="n">
        <v>0</v>
      </c>
      <c r="S143" s="17" t="n">
        <v>0</v>
      </c>
      <c r="T143" s="17" t="n">
        <v>0</v>
      </c>
      <c r="U143" s="18" t="n">
        <v>0</v>
      </c>
    </row>
    <row r="144">
      <c r="A144" s="13" t="n">
        <v>44678</v>
      </c>
      <c r="B144" s="4">
        <f>TEXT(A144,"ddd")</f>
        <v/>
      </c>
      <c r="C144" s="14" t="n">
        <v>1907.4</v>
      </c>
      <c r="D144" s="14" t="n">
        <v>1908.1</v>
      </c>
      <c r="E144" s="14" t="n">
        <v>1881.6</v>
      </c>
      <c r="F144" s="14" t="n">
        <v>1888.7</v>
      </c>
      <c r="G144" s="9">
        <f>F144-F143</f>
        <v/>
      </c>
      <c r="H144" s="10">
        <f>IF(F143=0,0,G144/F143)</f>
        <v/>
      </c>
      <c r="I144" s="8">
        <f>D144-E144</f>
        <v/>
      </c>
      <c r="J144" s="4">
        <f>IF(F144&gt;C144,"Up",IF(F144&lt;C144,"Down","Flat"))</f>
        <v/>
      </c>
      <c r="K144" s="14" t="n">
        <v>29.53</v>
      </c>
      <c r="L144" s="15" t="n">
        <v>38.32</v>
      </c>
      <c r="M144" s="14" t="n">
        <v>1936.06</v>
      </c>
      <c r="N144" s="14" t="n">
        <v>1923.03</v>
      </c>
      <c r="O144" s="14" t="n"/>
      <c r="P144" s="4">
        <f>IF(O144="","",IF(F144&gt;O144,"Above","Below"))</f>
        <v/>
      </c>
      <c r="Q144" s="16" t="n">
        <v>178197</v>
      </c>
      <c r="R144" s="17" t="n">
        <v>0</v>
      </c>
      <c r="S144" s="17" t="n">
        <v>0</v>
      </c>
      <c r="T144" s="17" t="n">
        <v>0</v>
      </c>
      <c r="U144" s="18" t="n">
        <v>0</v>
      </c>
    </row>
    <row r="145">
      <c r="A145" s="13" t="n">
        <v>44679</v>
      </c>
      <c r="B145" s="4">
        <f>TEXT(A145,"ddd")</f>
        <v/>
      </c>
      <c r="C145" s="14" t="n">
        <v>1886.8</v>
      </c>
      <c r="D145" s="14" t="n">
        <v>1897.8</v>
      </c>
      <c r="E145" s="14" t="n">
        <v>1870.9</v>
      </c>
      <c r="F145" s="14" t="n">
        <v>1891.3</v>
      </c>
      <c r="G145" s="9">
        <f>F145-F144</f>
        <v/>
      </c>
      <c r="H145" s="10">
        <f>IF(F144=0,0,G145/F144)</f>
        <v/>
      </c>
      <c r="I145" s="8">
        <f>D145-E145</f>
        <v/>
      </c>
      <c r="J145" s="4">
        <f>IF(F145&gt;C145,"Up",IF(F145&lt;C145,"Down","Flat"))</f>
        <v/>
      </c>
      <c r="K145" s="14" t="n">
        <v>29.34</v>
      </c>
      <c r="L145" s="15" t="n">
        <v>39.11</v>
      </c>
      <c r="M145" s="14" t="n">
        <v>1931.8</v>
      </c>
      <c r="N145" s="14" t="n">
        <v>1921.78</v>
      </c>
      <c r="O145" s="14" t="n"/>
      <c r="P145" s="4">
        <f>IF(O145="","",IF(F145&gt;O145,"Above","Below"))</f>
        <v/>
      </c>
      <c r="Q145" s="16" t="n">
        <v>170910</v>
      </c>
      <c r="R145" s="17" t="n">
        <v>0</v>
      </c>
      <c r="S145" s="17" t="n">
        <v>0</v>
      </c>
      <c r="T145" s="17" t="n">
        <v>0</v>
      </c>
      <c r="U145" s="18" t="n">
        <v>0</v>
      </c>
    </row>
    <row r="146">
      <c r="A146" s="13" t="n">
        <v>44680</v>
      </c>
      <c r="B146" s="4">
        <f>TEXT(A146,"ddd")</f>
        <v/>
      </c>
      <c r="C146" s="14" t="n">
        <v>1895.8</v>
      </c>
      <c r="D146" s="14" t="n">
        <v>1921.3</v>
      </c>
      <c r="E146" s="14" t="n">
        <v>1893.5</v>
      </c>
      <c r="F146" s="14" t="n">
        <v>1911.7</v>
      </c>
      <c r="G146" s="9">
        <f>F146-F145</f>
        <v/>
      </c>
      <c r="H146" s="10">
        <f>IF(F145=0,0,G146/F145)</f>
        <v/>
      </c>
      <c r="I146" s="8">
        <f>D146-E146</f>
        <v/>
      </c>
      <c r="J146" s="4">
        <f>IF(F146&gt;C146,"Up",IF(F146&lt;C146,"Down","Flat"))</f>
        <v/>
      </c>
      <c r="K146" s="14" t="n">
        <v>29.39</v>
      </c>
      <c r="L146" s="15" t="n">
        <v>45.02</v>
      </c>
      <c r="M146" s="14" t="n">
        <v>1929.88</v>
      </c>
      <c r="N146" s="14" t="n">
        <v>1921.39</v>
      </c>
      <c r="O146" s="14" t="n"/>
      <c r="P146" s="4">
        <f>IF(O146="","",IF(F146&gt;O146,"Above","Below"))</f>
        <v/>
      </c>
      <c r="Q146" s="16" t="n">
        <v>177136</v>
      </c>
      <c r="R146" s="17" t="n">
        <v>0</v>
      </c>
      <c r="S146" s="17" t="n">
        <v>0</v>
      </c>
      <c r="T146" s="17" t="n">
        <v>0</v>
      </c>
      <c r="U146" s="18" t="n">
        <v>0</v>
      </c>
    </row>
    <row r="147">
      <c r="A147" s="13" t="n">
        <v>44683</v>
      </c>
      <c r="B147" s="4">
        <f>TEXT(A147,"ddd")</f>
        <v/>
      </c>
      <c r="C147" s="14" t="n">
        <v>1896.2</v>
      </c>
      <c r="D147" s="14" t="n">
        <v>1900.4</v>
      </c>
      <c r="E147" s="14" t="n">
        <v>1853.4</v>
      </c>
      <c r="F147" s="14" t="n">
        <v>1863.6</v>
      </c>
      <c r="G147" s="9">
        <f>F147-F146</f>
        <v/>
      </c>
      <c r="H147" s="10">
        <f>IF(F146=0,0,G147/F146)</f>
        <v/>
      </c>
      <c r="I147" s="8">
        <f>D147-E147</f>
        <v/>
      </c>
      <c r="J147" s="4">
        <f>IF(F147&gt;C147,"Up",IF(F147&lt;C147,"Down","Flat"))</f>
        <v/>
      </c>
      <c r="K147" s="14" t="n">
        <v>31.45</v>
      </c>
      <c r="L147" s="15" t="n">
        <v>36.12</v>
      </c>
      <c r="M147" s="14" t="n">
        <v>1923.57</v>
      </c>
      <c r="N147" s="14" t="n">
        <v>1919.12</v>
      </c>
      <c r="O147" s="14" t="n"/>
      <c r="P147" s="4">
        <f>IF(O147="","",IF(F147&gt;O147,"Above","Below"))</f>
        <v/>
      </c>
      <c r="Q147" s="16" t="n">
        <v>193825</v>
      </c>
      <c r="R147" s="17" t="n">
        <v>0</v>
      </c>
      <c r="S147" s="17" t="n">
        <v>0</v>
      </c>
      <c r="T147" s="17" t="n">
        <v>0</v>
      </c>
      <c r="U147" s="18" t="n">
        <v>0</v>
      </c>
    </row>
    <row r="148">
      <c r="A148" s="13" t="n">
        <v>44684</v>
      </c>
      <c r="B148" s="4">
        <f>TEXT(A148,"ddd")</f>
        <v/>
      </c>
      <c r="C148" s="14" t="n">
        <v>1863.6</v>
      </c>
      <c r="D148" s="14" t="n">
        <v>1878.4</v>
      </c>
      <c r="E148" s="14" t="n">
        <v>1849.7</v>
      </c>
      <c r="F148" s="14" t="n">
        <v>1870.6</v>
      </c>
      <c r="G148" s="9">
        <f>F148-F147</f>
        <v/>
      </c>
      <c r="H148" s="10">
        <f>IF(F147=0,0,G148/F147)</f>
        <v/>
      </c>
      <c r="I148" s="8">
        <f>D148-E148</f>
        <v/>
      </c>
      <c r="J148" s="4">
        <f>IF(F148&gt;C148,"Up",IF(F148&lt;C148,"Down","Flat"))</f>
        <v/>
      </c>
      <c r="K148" s="14" t="n">
        <v>31.26</v>
      </c>
      <c r="L148" s="15" t="n">
        <v>38.04</v>
      </c>
      <c r="M148" s="14" t="n">
        <v>1918.52</v>
      </c>
      <c r="N148" s="14" t="n">
        <v>1917.22</v>
      </c>
      <c r="O148" s="14" t="n"/>
      <c r="P148" s="4">
        <f>IF(O148="","",IF(F148&gt;O148,"Above","Below"))</f>
        <v/>
      </c>
      <c r="Q148" s="16" t="n">
        <v>167434</v>
      </c>
      <c r="R148" s="17" t="n">
        <v>0</v>
      </c>
      <c r="S148" s="17" t="n">
        <v>0</v>
      </c>
      <c r="T148" s="17" t="n">
        <v>0</v>
      </c>
      <c r="U148" s="18" t="n">
        <v>0</v>
      </c>
    </row>
    <row r="149">
      <c r="A149" s="13" t="n">
        <v>44685</v>
      </c>
      <c r="B149" s="4">
        <f>TEXT(A149,"ddd")</f>
        <v/>
      </c>
      <c r="C149" s="14" t="n">
        <v>1868.3</v>
      </c>
      <c r="D149" s="14" t="n">
        <v>1892</v>
      </c>
      <c r="E149" s="14" t="n">
        <v>1861.1</v>
      </c>
      <c r="F149" s="14" t="n">
        <v>1868.8</v>
      </c>
      <c r="G149" s="9">
        <f>F149-F148</f>
        <v/>
      </c>
      <c r="H149" s="10">
        <f>IF(F148=0,0,G149/F148)</f>
        <v/>
      </c>
      <c r="I149" s="8">
        <f>D149-E149</f>
        <v/>
      </c>
      <c r="J149" s="4">
        <f>IF(F149&gt;C149,"Up",IF(F149&lt;C149,"Down","Flat"))</f>
        <v/>
      </c>
      <c r="K149" s="14" t="n">
        <v>31.23</v>
      </c>
      <c r="L149" s="15" t="n">
        <v>37.72</v>
      </c>
      <c r="M149" s="14" t="n">
        <v>1913.79</v>
      </c>
      <c r="N149" s="14" t="n">
        <v>1915.32</v>
      </c>
      <c r="O149" s="14" t="n"/>
      <c r="P149" s="4">
        <f>IF(O149="","",IF(F149&gt;O149,"Above","Below"))</f>
        <v/>
      </c>
      <c r="Q149" s="16" t="n">
        <v>161479</v>
      </c>
      <c r="R149" s="17" t="n">
        <v>0</v>
      </c>
      <c r="S149" s="17" t="n">
        <v>0</v>
      </c>
      <c r="T149" s="17" t="n">
        <v>0</v>
      </c>
      <c r="U149" s="18" t="n">
        <v>0</v>
      </c>
    </row>
    <row r="150">
      <c r="A150" s="13" t="n">
        <v>44686</v>
      </c>
      <c r="B150" s="4">
        <f>TEXT(A150,"ddd")</f>
        <v/>
      </c>
      <c r="C150" s="14" t="n">
        <v>1884.1</v>
      </c>
      <c r="D150" s="14" t="n">
        <v>1910.7</v>
      </c>
      <c r="E150" s="14" t="n">
        <v>1872.3</v>
      </c>
      <c r="F150" s="14" t="n">
        <v>1875.7</v>
      </c>
      <c r="G150" s="9">
        <f>F150-F149</f>
        <v/>
      </c>
      <c r="H150" s="10">
        <f>IF(F149=0,0,G150/F149)</f>
        <v/>
      </c>
      <c r="I150" s="8">
        <f>D150-E150</f>
        <v/>
      </c>
      <c r="J150" s="4">
        <f>IF(F150&gt;C150,"Up",IF(F150&lt;C150,"Down","Flat"))</f>
        <v/>
      </c>
      <c r="K150" s="14" t="n">
        <v>31.99</v>
      </c>
      <c r="L150" s="15" t="n">
        <v>39.77</v>
      </c>
      <c r="M150" s="14" t="n">
        <v>1910.16</v>
      </c>
      <c r="N150" s="14" t="n">
        <v>1913.77</v>
      </c>
      <c r="O150" s="14" t="n"/>
      <c r="P150" s="4">
        <f>IF(O150="","",IF(F150&gt;O150,"Above","Below"))</f>
        <v/>
      </c>
      <c r="Q150" s="16" t="n">
        <v>218392</v>
      </c>
      <c r="R150" s="17" t="n">
        <v>0</v>
      </c>
      <c r="S150" s="17" t="n">
        <v>0</v>
      </c>
      <c r="T150" s="17" t="n">
        <v>0</v>
      </c>
      <c r="U150" s="18" t="n">
        <v>0</v>
      </c>
    </row>
    <row r="151">
      <c r="A151" s="13" t="n">
        <v>44687</v>
      </c>
      <c r="B151" s="4">
        <f>TEXT(A151,"ddd")</f>
        <v/>
      </c>
      <c r="C151" s="14" t="n">
        <v>1877.5</v>
      </c>
      <c r="D151" s="14" t="n">
        <v>1894</v>
      </c>
      <c r="E151" s="14" t="n">
        <v>1865</v>
      </c>
      <c r="F151" s="14" t="n">
        <v>1882.8</v>
      </c>
      <c r="G151" s="9">
        <f>F151-F150</f>
        <v/>
      </c>
      <c r="H151" s="10">
        <f>IF(F150=0,0,G151/F150)</f>
        <v/>
      </c>
      <c r="I151" s="8">
        <f>D151-E151</f>
        <v/>
      </c>
      <c r="J151" s="4">
        <f>IF(F151&gt;C151,"Up",IF(F151&lt;C151,"Down","Flat"))</f>
        <v/>
      </c>
      <c r="K151" s="14" t="n">
        <v>31.78</v>
      </c>
      <c r="L151" s="15" t="n">
        <v>41.9</v>
      </c>
      <c r="M151" s="14" t="n">
        <v>1907.56</v>
      </c>
      <c r="N151" s="14" t="n">
        <v>1912.55</v>
      </c>
      <c r="O151" s="14" t="n"/>
      <c r="P151" s="4">
        <f>IF(O151="","",IF(F151&gt;O151,"Above","Below"))</f>
        <v/>
      </c>
      <c r="Q151" s="16" t="n">
        <v>194279</v>
      </c>
      <c r="R151" s="17" t="n">
        <v>0</v>
      </c>
      <c r="S151" s="17" t="n">
        <v>0</v>
      </c>
      <c r="T151" s="17" t="n">
        <v>0</v>
      </c>
      <c r="U151" s="18" t="n">
        <v>0</v>
      </c>
    </row>
    <row r="152">
      <c r="A152" s="13" t="n">
        <v>44690</v>
      </c>
      <c r="B152" s="4">
        <f>TEXT(A152,"ddd")</f>
        <v/>
      </c>
      <c r="C152" s="14" t="n">
        <v>1883.7</v>
      </c>
      <c r="D152" s="14" t="n">
        <v>1885.6</v>
      </c>
      <c r="E152" s="14" t="n">
        <v>1851</v>
      </c>
      <c r="F152" s="14" t="n">
        <v>1858.6</v>
      </c>
      <c r="G152" s="9">
        <f>F152-F151</f>
        <v/>
      </c>
      <c r="H152" s="10">
        <f>IF(F151=0,0,G152/F151)</f>
        <v/>
      </c>
      <c r="I152" s="8">
        <f>D152-E152</f>
        <v/>
      </c>
      <c r="J152" s="4">
        <f>IF(F152&gt;C152,"Up",IF(F152&lt;C152,"Down","Flat"))</f>
        <v/>
      </c>
      <c r="K152" s="14" t="n">
        <v>31.98</v>
      </c>
      <c r="L152" s="15" t="n">
        <v>37.1</v>
      </c>
      <c r="M152" s="14" t="n">
        <v>1902.89</v>
      </c>
      <c r="N152" s="14" t="n">
        <v>1910.44</v>
      </c>
      <c r="O152" s="14" t="n"/>
      <c r="P152" s="4">
        <f>IF(O152="","",IF(F152&gt;O152,"Above","Below"))</f>
        <v/>
      </c>
      <c r="Q152" s="16" t="n">
        <v>218821</v>
      </c>
      <c r="R152" s="17" t="n">
        <v>0</v>
      </c>
      <c r="S152" s="17" t="n">
        <v>0</v>
      </c>
      <c r="T152" s="17" t="n">
        <v>0</v>
      </c>
      <c r="U152" s="18" t="n">
        <v>0</v>
      </c>
    </row>
    <row r="153">
      <c r="A153" s="13" t="n">
        <v>44691</v>
      </c>
      <c r="B153" s="4">
        <f>TEXT(A153,"ddd")</f>
        <v/>
      </c>
      <c r="C153" s="14" t="n">
        <v>1853.9</v>
      </c>
      <c r="D153" s="14" t="n">
        <v>1864.7</v>
      </c>
      <c r="E153" s="14" t="n">
        <v>1834.5</v>
      </c>
      <c r="F153" s="14" t="n">
        <v>1841</v>
      </c>
      <c r="G153" s="9">
        <f>F153-F152</f>
        <v/>
      </c>
      <c r="H153" s="10">
        <f>IF(F152=0,0,G153/F152)</f>
        <v/>
      </c>
      <c r="I153" s="8">
        <f>D153-E153</f>
        <v/>
      </c>
      <c r="J153" s="4">
        <f>IF(F153&gt;C153,"Up",IF(F153&lt;C153,"Down","Flat"))</f>
        <v/>
      </c>
      <c r="K153" s="14" t="n">
        <v>31.85</v>
      </c>
      <c r="L153" s="15" t="n">
        <v>34.04</v>
      </c>
      <c r="M153" s="14" t="n">
        <v>1897</v>
      </c>
      <c r="N153" s="14" t="n">
        <v>1907.71</v>
      </c>
      <c r="O153" s="14" t="n"/>
      <c r="P153" s="4">
        <f>IF(O153="","",IF(F153&gt;O153,"Above","Below"))</f>
        <v/>
      </c>
      <c r="Q153" s="16" t="n">
        <v>260811</v>
      </c>
      <c r="R153" s="17" t="n">
        <v>0</v>
      </c>
      <c r="S153" s="17" t="n">
        <v>0</v>
      </c>
      <c r="T153" s="17" t="n">
        <v>0</v>
      </c>
      <c r="U153" s="18" t="n">
        <v>0</v>
      </c>
    </row>
    <row r="154">
      <c r="A154" s="13" t="n">
        <v>44692</v>
      </c>
      <c r="B154" s="4">
        <f>TEXT(A154,"ddd")</f>
        <v/>
      </c>
      <c r="C154" s="14" t="n">
        <v>1836.6</v>
      </c>
      <c r="D154" s="14" t="n">
        <v>1857.8</v>
      </c>
      <c r="E154" s="14" t="n">
        <v>1830.6</v>
      </c>
      <c r="F154" s="14" t="n">
        <v>1853.7</v>
      </c>
      <c r="G154" s="9">
        <f>F154-F153</f>
        <v/>
      </c>
      <c r="H154" s="10">
        <f>IF(F153=0,0,G154/F153)</f>
        <v/>
      </c>
      <c r="I154" s="8">
        <f>D154-E154</f>
        <v/>
      </c>
      <c r="J154" s="4">
        <f>IF(F154&gt;C154,"Up",IF(F154&lt;C154,"Down","Flat"))</f>
        <v/>
      </c>
      <c r="K154" s="14" t="n">
        <v>31.52</v>
      </c>
      <c r="L154" s="15" t="n">
        <v>38.01</v>
      </c>
      <c r="M154" s="14" t="n">
        <v>1892.87</v>
      </c>
      <c r="N154" s="14" t="n">
        <v>1905.59</v>
      </c>
      <c r="O154" s="14" t="n"/>
      <c r="P154" s="4">
        <f>IF(O154="","",IF(F154&gt;O154,"Above","Below"))</f>
        <v/>
      </c>
      <c r="Q154" s="16" t="n">
        <v>243561</v>
      </c>
      <c r="R154" s="17" t="n">
        <v>0</v>
      </c>
      <c r="S154" s="17" t="n">
        <v>0</v>
      </c>
      <c r="T154" s="17" t="n">
        <v>0</v>
      </c>
      <c r="U154" s="18" t="n">
        <v>0</v>
      </c>
    </row>
    <row r="155">
      <c r="A155" s="13" t="n">
        <v>44693</v>
      </c>
      <c r="B155" s="4">
        <f>TEXT(A155,"ddd")</f>
        <v/>
      </c>
      <c r="C155" s="14" t="n">
        <v>1852.3</v>
      </c>
      <c r="D155" s="14" t="n">
        <v>1858.8</v>
      </c>
      <c r="E155" s="14" t="n">
        <v>1820.1</v>
      </c>
      <c r="F155" s="14" t="n">
        <v>1824.6</v>
      </c>
      <c r="G155" s="9">
        <f>F155-F154</f>
        <v/>
      </c>
      <c r="H155" s="10">
        <f>IF(F154=0,0,G155/F154)</f>
        <v/>
      </c>
      <c r="I155" s="8">
        <f>D155-E155</f>
        <v/>
      </c>
      <c r="J155" s="4">
        <f>IF(F155&gt;C155,"Up",IF(F155&lt;C155,"Down","Flat"))</f>
        <v/>
      </c>
      <c r="K155" s="14" t="n">
        <v>32.03</v>
      </c>
      <c r="L155" s="15" t="n">
        <v>33.1</v>
      </c>
      <c r="M155" s="14" t="n">
        <v>1886.37</v>
      </c>
      <c r="N155" s="14" t="n">
        <v>1902.42</v>
      </c>
      <c r="O155" s="14" t="n"/>
      <c r="P155" s="4">
        <f>IF(O155="","",IF(F155&gt;O155,"Above","Below"))</f>
        <v/>
      </c>
      <c r="Q155" s="16" t="n">
        <v>255608</v>
      </c>
      <c r="R155" s="17" t="n">
        <v>0</v>
      </c>
      <c r="S155" s="17" t="n">
        <v>0</v>
      </c>
      <c r="T155" s="17" t="n">
        <v>0</v>
      </c>
      <c r="U155" s="18" t="n">
        <v>0</v>
      </c>
    </row>
    <row r="156">
      <c r="A156" s="13" t="n">
        <v>44694</v>
      </c>
      <c r="B156" s="4">
        <f>TEXT(A156,"ddd")</f>
        <v/>
      </c>
      <c r="C156" s="14" t="n">
        <v>1821.4</v>
      </c>
      <c r="D156" s="14" t="n">
        <v>1827.6</v>
      </c>
      <c r="E156" s="14" t="n">
        <v>1797.2</v>
      </c>
      <c r="F156" s="14" t="n">
        <v>1808.2</v>
      </c>
      <c r="G156" s="9">
        <f>F156-F155</f>
        <v/>
      </c>
      <c r="H156" s="10">
        <f>IF(F155=0,0,G156/F155)</f>
        <v/>
      </c>
      <c r="I156" s="8">
        <f>D156-E156</f>
        <v/>
      </c>
      <c r="J156" s="4">
        <f>IF(F156&gt;C156,"Up",IF(F156&lt;C156,"Down","Flat"))</f>
        <v/>
      </c>
      <c r="K156" s="14" t="n">
        <v>31.92</v>
      </c>
      <c r="L156" s="15" t="n">
        <v>30.69</v>
      </c>
      <c r="M156" s="14" t="n">
        <v>1878.93</v>
      </c>
      <c r="N156" s="14" t="n">
        <v>1898.72</v>
      </c>
      <c r="O156" s="14" t="n"/>
      <c r="P156" s="4">
        <f>IF(O156="","",IF(F156&gt;O156,"Above","Below"))</f>
        <v/>
      </c>
      <c r="Q156" s="16" t="n">
        <v>179483</v>
      </c>
      <c r="R156" s="17" t="n">
        <v>0</v>
      </c>
      <c r="S156" s="17" t="n">
        <v>0</v>
      </c>
      <c r="T156" s="17" t="n">
        <v>0</v>
      </c>
      <c r="U156" s="18" t="n">
        <v>0</v>
      </c>
    </row>
    <row r="157">
      <c r="A157" s="13" t="n">
        <v>44697</v>
      </c>
      <c r="B157" s="4">
        <f>TEXT(A157,"ddd")</f>
        <v/>
      </c>
      <c r="C157" s="14" t="n">
        <v>1809.4</v>
      </c>
      <c r="D157" s="14" t="n">
        <v>1826</v>
      </c>
      <c r="E157" s="14" t="n">
        <v>1785</v>
      </c>
      <c r="F157" s="14" t="n">
        <v>1814</v>
      </c>
      <c r="G157" s="9">
        <f>F157-F156</f>
        <v/>
      </c>
      <c r="H157" s="10">
        <f>IF(F156=0,0,G157/F156)</f>
        <v/>
      </c>
      <c r="I157" s="8">
        <f>D157-E157</f>
        <v/>
      </c>
      <c r="J157" s="4">
        <f>IF(F157&gt;C157,"Up",IF(F157&lt;C157,"Down","Flat"))</f>
        <v/>
      </c>
      <c r="K157" s="14" t="n">
        <v>32.57</v>
      </c>
      <c r="L157" s="15" t="n">
        <v>32.56</v>
      </c>
      <c r="M157" s="14" t="n">
        <v>1872.74</v>
      </c>
      <c r="N157" s="14" t="n">
        <v>1895.4</v>
      </c>
      <c r="O157" s="14" t="n"/>
      <c r="P157" s="4">
        <f>IF(O157="","",IF(F157&gt;O157,"Above","Below"))</f>
        <v/>
      </c>
      <c r="Q157" s="16" t="n">
        <v>159493</v>
      </c>
      <c r="R157" s="17" t="n">
        <v>0</v>
      </c>
      <c r="S157" s="17" t="n">
        <v>0</v>
      </c>
      <c r="T157" s="17" t="n">
        <v>0</v>
      </c>
      <c r="U157" s="18" t="n">
        <v>0</v>
      </c>
    </row>
    <row r="158">
      <c r="A158" s="13" t="n">
        <v>44698</v>
      </c>
      <c r="B158" s="4">
        <f>TEXT(A158,"ddd")</f>
        <v/>
      </c>
      <c r="C158" s="14" t="n">
        <v>1823.9</v>
      </c>
      <c r="D158" s="14" t="n">
        <v>1834.8</v>
      </c>
      <c r="E158" s="14" t="n">
        <v>1811</v>
      </c>
      <c r="F158" s="14" t="n">
        <v>1818.9</v>
      </c>
      <c r="G158" s="9">
        <f>F158-F157</f>
        <v/>
      </c>
      <c r="H158" s="10">
        <f>IF(F157=0,0,G158/F157)</f>
        <v/>
      </c>
      <c r="I158" s="8">
        <f>D158-E158</f>
        <v/>
      </c>
      <c r="J158" s="4">
        <f>IF(F158&gt;C158,"Up",IF(F158&lt;C158,"Down","Flat"))</f>
        <v/>
      </c>
      <c r="K158" s="14" t="n">
        <v>31.94</v>
      </c>
      <c r="L158" s="15" t="n">
        <v>34.17</v>
      </c>
      <c r="M158" s="14" t="n">
        <v>1867.62</v>
      </c>
      <c r="N158" s="14" t="n">
        <v>1892.4</v>
      </c>
      <c r="O158" s="14" t="n"/>
      <c r="P158" s="4">
        <f>IF(O158="","",IF(F158&gt;O158,"Above","Below"))</f>
        <v/>
      </c>
      <c r="Q158" s="16" t="n">
        <v>137288</v>
      </c>
      <c r="R158" s="17" t="n">
        <v>0</v>
      </c>
      <c r="S158" s="17" t="n">
        <v>0</v>
      </c>
      <c r="T158" s="17" t="n">
        <v>0</v>
      </c>
      <c r="U158" s="18" t="n">
        <v>0</v>
      </c>
    </row>
    <row r="159">
      <c r="A159" s="13" t="n">
        <v>44699</v>
      </c>
      <c r="B159" s="4">
        <f>TEXT(A159,"ddd")</f>
        <v/>
      </c>
      <c r="C159" s="14" t="n">
        <v>1813.2</v>
      </c>
      <c r="D159" s="14" t="n">
        <v>1822.9</v>
      </c>
      <c r="E159" s="14" t="n">
        <v>1805</v>
      </c>
      <c r="F159" s="14" t="n">
        <v>1815.9</v>
      </c>
      <c r="G159" s="9">
        <f>F159-F158</f>
        <v/>
      </c>
      <c r="H159" s="10">
        <f>IF(F158=0,0,G159/F158)</f>
        <v/>
      </c>
      <c r="I159" s="8">
        <f>D159-E159</f>
        <v/>
      </c>
      <c r="J159" s="4">
        <f>IF(F159&gt;C159,"Up",IF(F159&lt;C159,"Down","Flat"))</f>
        <v/>
      </c>
      <c r="K159" s="14" t="n">
        <v>30.94</v>
      </c>
      <c r="L159" s="15" t="n">
        <v>33.64</v>
      </c>
      <c r="M159" s="14" t="n">
        <v>1862.69</v>
      </c>
      <c r="N159" s="14" t="n">
        <v>1889.4</v>
      </c>
      <c r="O159" s="14" t="n"/>
      <c r="P159" s="4">
        <f>IF(O159="","",IF(F159&gt;O159,"Above","Below"))</f>
        <v/>
      </c>
      <c r="Q159" s="16" t="n">
        <v>150353</v>
      </c>
      <c r="R159" s="17" t="n">
        <v>0</v>
      </c>
      <c r="S159" s="17" t="n">
        <v>0</v>
      </c>
      <c r="T159" s="17" t="n">
        <v>0</v>
      </c>
      <c r="U159" s="18" t="n">
        <v>0</v>
      </c>
    </row>
    <row r="160">
      <c r="A160" s="13" t="n">
        <v>44700</v>
      </c>
      <c r="B160" s="4">
        <f>TEXT(A160,"ddd")</f>
        <v/>
      </c>
      <c r="C160" s="14" t="n">
        <v>1815.1</v>
      </c>
      <c r="D160" s="14" t="n">
        <v>1848.2</v>
      </c>
      <c r="E160" s="14" t="n">
        <v>1808.4</v>
      </c>
      <c r="F160" s="14" t="n">
        <v>1841.2</v>
      </c>
      <c r="G160" s="9">
        <f>F160-F159</f>
        <v/>
      </c>
      <c r="H160" s="10">
        <f>IF(F159=0,0,G160/F159)</f>
        <v/>
      </c>
      <c r="I160" s="8">
        <f>D160-E160</f>
        <v/>
      </c>
      <c r="J160" s="4">
        <f>IF(F160&gt;C160,"Up",IF(F160&lt;C160,"Down","Flat"))</f>
        <v/>
      </c>
      <c r="K160" s="14" t="n">
        <v>31.57</v>
      </c>
      <c r="L160" s="15" t="n">
        <v>41.85</v>
      </c>
      <c r="M160" s="14" t="n">
        <v>1860.64</v>
      </c>
      <c r="N160" s="14" t="n">
        <v>1887.51</v>
      </c>
      <c r="O160" s="14" t="n"/>
      <c r="P160" s="4">
        <f>IF(O160="","",IF(F160&gt;O160,"Above","Below"))</f>
        <v/>
      </c>
      <c r="Q160" s="16" t="n">
        <v>175242</v>
      </c>
      <c r="R160" s="17" t="n">
        <v>0</v>
      </c>
      <c r="S160" s="17" t="n">
        <v>0</v>
      </c>
      <c r="T160" s="17" t="n">
        <v>0</v>
      </c>
      <c r="U160" s="18" t="n">
        <v>0</v>
      </c>
    </row>
    <row r="161">
      <c r="A161" s="13" t="n">
        <v>44701</v>
      </c>
      <c r="B161" s="4">
        <f>TEXT(A161,"ddd")</f>
        <v/>
      </c>
      <c r="C161" s="14" t="n">
        <v>1839.6</v>
      </c>
      <c r="D161" s="14" t="n">
        <v>1847.8</v>
      </c>
      <c r="E161" s="14" t="n">
        <v>1830.6</v>
      </c>
      <c r="F161" s="14" t="n">
        <v>1842.1</v>
      </c>
      <c r="G161" s="9">
        <f>F161-F160</f>
        <v/>
      </c>
      <c r="H161" s="10">
        <f>IF(F160=0,0,G161/F160)</f>
        <v/>
      </c>
      <c r="I161" s="8">
        <f>D161-E161</f>
        <v/>
      </c>
      <c r="J161" s="4">
        <f>IF(F161&gt;C161,"Up",IF(F161&lt;C161,"Down","Flat"))</f>
        <v/>
      </c>
      <c r="K161" s="14" t="n">
        <v>30.54</v>
      </c>
      <c r="L161" s="15" t="n">
        <v>42.12</v>
      </c>
      <c r="M161" s="14" t="n">
        <v>1858.88</v>
      </c>
      <c r="N161" s="14" t="n">
        <v>1885.73</v>
      </c>
      <c r="O161" s="14" t="n"/>
      <c r="P161" s="4">
        <f>IF(O161="","",IF(F161&gt;O161,"Above","Below"))</f>
        <v/>
      </c>
      <c r="Q161" s="16" t="n">
        <v>143045</v>
      </c>
      <c r="R161" s="17" t="n">
        <v>0</v>
      </c>
      <c r="S161" s="17" t="n">
        <v>0</v>
      </c>
      <c r="T161" s="17" t="n">
        <v>0</v>
      </c>
      <c r="U161" s="18" t="n">
        <v>0</v>
      </c>
    </row>
    <row r="162">
      <c r="A162" s="13" t="n">
        <v>44704</v>
      </c>
      <c r="B162" s="4">
        <f>TEXT(A162,"ddd")</f>
        <v/>
      </c>
      <c r="C162" s="14" t="n">
        <v>1844.4</v>
      </c>
      <c r="D162" s="14" t="n">
        <v>1864.3</v>
      </c>
      <c r="E162" s="14" t="n">
        <v>1843.3</v>
      </c>
      <c r="F162" s="14" t="n">
        <v>1847.8</v>
      </c>
      <c r="G162" s="9">
        <f>F162-F161</f>
        <v/>
      </c>
      <c r="H162" s="10">
        <f>IF(F161=0,0,G162/F161)</f>
        <v/>
      </c>
      <c r="I162" s="8">
        <f>D162-E162</f>
        <v/>
      </c>
      <c r="J162" s="4">
        <f>IF(F162&gt;C162,"Up",IF(F162&lt;C162,"Down","Flat"))</f>
        <v/>
      </c>
      <c r="K162" s="14" t="n">
        <v>29.95</v>
      </c>
      <c r="L162" s="15" t="n">
        <v>43.92</v>
      </c>
      <c r="M162" s="14" t="n">
        <v>1857.82</v>
      </c>
      <c r="N162" s="14" t="n">
        <v>1884.24</v>
      </c>
      <c r="O162" s="14" t="n"/>
      <c r="P162" s="4">
        <f>IF(O162="","",IF(F162&gt;O162,"Above","Below"))</f>
        <v/>
      </c>
      <c r="Q162" s="16" t="n">
        <v>163266</v>
      </c>
      <c r="R162" s="17" t="n">
        <v>0</v>
      </c>
      <c r="S162" s="17" t="n">
        <v>0</v>
      </c>
      <c r="T162" s="17" t="n">
        <v>0</v>
      </c>
      <c r="U162" s="18" t="n">
        <v>0</v>
      </c>
    </row>
    <row r="163">
      <c r="A163" s="13" t="n">
        <v>44705</v>
      </c>
      <c r="B163" s="4">
        <f>TEXT(A163,"ddd")</f>
        <v/>
      </c>
      <c r="C163" s="14" t="n">
        <v>1852.3</v>
      </c>
      <c r="D163" s="14" t="n">
        <v>1869.1</v>
      </c>
      <c r="E163" s="14" t="n">
        <v>1847.6</v>
      </c>
      <c r="F163" s="14" t="n">
        <v>1865.4</v>
      </c>
      <c r="G163" s="9">
        <f>F163-F162</f>
        <v/>
      </c>
      <c r="H163" s="10">
        <f>IF(F162=0,0,G163/F162)</f>
        <v/>
      </c>
      <c r="I163" s="8">
        <f>D163-E163</f>
        <v/>
      </c>
      <c r="J163" s="4">
        <f>IF(F163&gt;C163,"Up",IF(F163&lt;C163,"Down","Flat"))</f>
        <v/>
      </c>
      <c r="K163" s="14" t="n">
        <v>29.34</v>
      </c>
      <c r="L163" s="15" t="n">
        <v>49.19</v>
      </c>
      <c r="M163" s="14" t="n">
        <v>1858.54</v>
      </c>
      <c r="N163" s="14" t="n">
        <v>1883.5</v>
      </c>
      <c r="O163" s="14" t="n"/>
      <c r="P163" s="4">
        <f>IF(O163="","",IF(F163&gt;O163,"Above","Below"))</f>
        <v/>
      </c>
      <c r="Q163" s="16" t="n">
        <v>174762</v>
      </c>
      <c r="R163" s="17" t="n">
        <v>0</v>
      </c>
      <c r="S163" s="17" t="n">
        <v>0</v>
      </c>
      <c r="T163" s="17" t="n">
        <v>0</v>
      </c>
      <c r="U163" s="18" t="n">
        <v>0</v>
      </c>
    </row>
    <row r="164">
      <c r="A164" s="13" t="n">
        <v>44706</v>
      </c>
      <c r="B164" s="4">
        <f>TEXT(A164,"ddd")</f>
        <v/>
      </c>
      <c r="C164" s="14" t="n">
        <v>1865.4</v>
      </c>
      <c r="D164" s="14" t="n">
        <v>1866.7</v>
      </c>
      <c r="E164" s="14" t="n">
        <v>1838.7</v>
      </c>
      <c r="F164" s="14" t="n">
        <v>1846.3</v>
      </c>
      <c r="G164" s="9">
        <f>F164-F163</f>
        <v/>
      </c>
      <c r="H164" s="10">
        <f>IF(F163=0,0,G164/F163)</f>
        <v/>
      </c>
      <c r="I164" s="8">
        <f>D164-E164</f>
        <v/>
      </c>
      <c r="J164" s="4">
        <f>IF(F164&gt;C164,"Up",IF(F164&lt;C164,"Down","Flat"))</f>
        <v/>
      </c>
      <c r="K164" s="14" t="n">
        <v>29.25</v>
      </c>
      <c r="L164" s="15" t="n">
        <v>44.32</v>
      </c>
      <c r="M164" s="14" t="n">
        <v>1857.38</v>
      </c>
      <c r="N164" s="14" t="n">
        <v>1882.04</v>
      </c>
      <c r="O164" s="14" t="n"/>
      <c r="P164" s="4">
        <f>IF(O164="","",IF(F164&gt;O164,"Above","Below"))</f>
        <v/>
      </c>
      <c r="Q164" s="16" t="n">
        <v>182823</v>
      </c>
      <c r="R164" s="17" t="n">
        <v>0</v>
      </c>
      <c r="S164" s="17" t="n">
        <v>0</v>
      </c>
      <c r="T164" s="17" t="n">
        <v>0</v>
      </c>
      <c r="U164" s="18" t="n">
        <v>0</v>
      </c>
    </row>
    <row r="165">
      <c r="A165" s="13" t="n">
        <v>44707</v>
      </c>
      <c r="B165" s="4">
        <f>TEXT(A165,"ddd")</f>
        <v/>
      </c>
      <c r="C165" s="14" t="n">
        <v>1851.8</v>
      </c>
      <c r="D165" s="14" t="n">
        <v>1852.8</v>
      </c>
      <c r="E165" s="14" t="n">
        <v>1836.3</v>
      </c>
      <c r="F165" s="14" t="n">
        <v>1847.6</v>
      </c>
      <c r="G165" s="9">
        <f>F165-F164</f>
        <v/>
      </c>
      <c r="H165" s="10">
        <f>IF(F164=0,0,G165/F164)</f>
        <v/>
      </c>
      <c r="I165" s="8">
        <f>D165-E165</f>
        <v/>
      </c>
      <c r="J165" s="4">
        <f>IF(F165&gt;C165,"Up",IF(F165&lt;C165,"Down","Flat"))</f>
        <v/>
      </c>
      <c r="K165" s="14" t="n">
        <v>28.34</v>
      </c>
      <c r="L165" s="15" t="n">
        <v>44.72</v>
      </c>
      <c r="M165" s="14" t="n">
        <v>1856.45</v>
      </c>
      <c r="N165" s="14" t="n">
        <v>1880.69</v>
      </c>
      <c r="O165" s="14" t="n"/>
      <c r="P165" s="4">
        <f>IF(O165="","",IF(F165&gt;O165,"Above","Below"))</f>
        <v/>
      </c>
      <c r="Q165" s="16" t="n">
        <v>123355</v>
      </c>
      <c r="R165" s="17" t="n">
        <v>0</v>
      </c>
      <c r="S165" s="17" t="n">
        <v>0</v>
      </c>
      <c r="T165" s="17" t="n">
        <v>0</v>
      </c>
      <c r="U165" s="18" t="n">
        <v>0</v>
      </c>
    </row>
    <row r="166">
      <c r="A166" s="13" t="n">
        <v>44708</v>
      </c>
      <c r="B166" s="4">
        <f>TEXT(A166,"ddd")</f>
        <v/>
      </c>
      <c r="C166" s="14" t="n">
        <v>1848.3</v>
      </c>
      <c r="D166" s="14" t="n">
        <v>1860.7</v>
      </c>
      <c r="E166" s="14" t="n">
        <v>1845.9</v>
      </c>
      <c r="F166" s="14" t="n">
        <v>1851.3</v>
      </c>
      <c r="G166" s="9">
        <f>F166-F165</f>
        <v/>
      </c>
      <c r="H166" s="10">
        <f>IF(F165=0,0,G166/F165)</f>
        <v/>
      </c>
      <c r="I166" s="8">
        <f>D166-E166</f>
        <v/>
      </c>
      <c r="J166" s="4">
        <f>IF(F166&gt;C166,"Up",IF(F166&lt;C166,"Down","Flat"))</f>
        <v/>
      </c>
      <c r="K166" s="14" t="n">
        <v>27.37</v>
      </c>
      <c r="L166" s="15" t="n">
        <v>45.92</v>
      </c>
      <c r="M166" s="14" t="n">
        <v>1855.96</v>
      </c>
      <c r="N166" s="14" t="n">
        <v>1879.54</v>
      </c>
      <c r="O166" s="14" t="n"/>
      <c r="P166" s="4">
        <f>IF(O166="","",IF(F166&gt;O166,"Above","Below"))</f>
        <v/>
      </c>
      <c r="Q166" s="16" t="n">
        <v>30091</v>
      </c>
      <c r="R166" s="17" t="n">
        <v>0</v>
      </c>
      <c r="S166" s="17" t="n">
        <v>0</v>
      </c>
      <c r="T166" s="17" t="n">
        <v>0</v>
      </c>
      <c r="U166" s="18" t="n">
        <v>0</v>
      </c>
    </row>
    <row r="167">
      <c r="A167" s="13" t="n">
        <v>44712</v>
      </c>
      <c r="B167" s="4">
        <f>TEXT(A167,"ddd")</f>
        <v/>
      </c>
      <c r="C167" s="14" t="n">
        <v>1850.3</v>
      </c>
      <c r="D167" s="14" t="n">
        <v>1862.1</v>
      </c>
      <c r="E167" s="14" t="n">
        <v>1832.8</v>
      </c>
      <c r="F167" s="14" t="n">
        <v>1842.7</v>
      </c>
      <c r="G167" s="9">
        <f>F167-F166</f>
        <v/>
      </c>
      <c r="H167" s="10">
        <f>IF(F166=0,0,G167/F166)</f>
        <v/>
      </c>
      <c r="I167" s="8">
        <f>D167-E167</f>
        <v/>
      </c>
      <c r="J167" s="4">
        <f>IF(F167&gt;C167,"Up",IF(F167&lt;C167,"Down","Flat"))</f>
        <v/>
      </c>
      <c r="K167" s="14" t="n">
        <v>27.51</v>
      </c>
      <c r="L167" s="15" t="n">
        <v>43.56</v>
      </c>
      <c r="M167" s="14" t="n">
        <v>1854.69</v>
      </c>
      <c r="N167" s="14" t="n">
        <v>1878.1</v>
      </c>
      <c r="O167" s="14" t="n"/>
      <c r="P167" s="4">
        <f>IF(O167="","",IF(F167&gt;O167,"Above","Below"))</f>
        <v/>
      </c>
      <c r="Q167" s="16" t="n">
        <v>201803</v>
      </c>
      <c r="R167" s="17" t="n">
        <v>0</v>
      </c>
      <c r="S167" s="17" t="n">
        <v>0</v>
      </c>
      <c r="T167" s="17" t="n">
        <v>0</v>
      </c>
      <c r="U167" s="18" t="n">
        <v>0</v>
      </c>
    </row>
    <row r="168">
      <c r="A168" s="13" t="n">
        <v>44713</v>
      </c>
      <c r="B168" s="4">
        <f>TEXT(A168,"ddd")</f>
        <v/>
      </c>
      <c r="C168" s="14" t="n">
        <v>1840</v>
      </c>
      <c r="D168" s="14" t="n">
        <v>1853</v>
      </c>
      <c r="E168" s="14" t="n">
        <v>1830.2</v>
      </c>
      <c r="F168" s="14" t="n">
        <v>1848.7</v>
      </c>
      <c r="G168" s="9">
        <f>F168-F167</f>
        <v/>
      </c>
      <c r="H168" s="10">
        <f>IF(F167=0,0,G168/F167)</f>
        <v/>
      </c>
      <c r="I168" s="8">
        <f>D168-E168</f>
        <v/>
      </c>
      <c r="J168" s="4">
        <f>IF(F168&gt;C168,"Up",IF(F168&lt;C168,"Down","Flat"))</f>
        <v/>
      </c>
      <c r="K168" s="14" t="n">
        <v>27.17</v>
      </c>
      <c r="L168" s="15" t="n">
        <v>45.66</v>
      </c>
      <c r="M168" s="14" t="n">
        <v>1854.12</v>
      </c>
      <c r="N168" s="14" t="n">
        <v>1876.94</v>
      </c>
      <c r="O168" s="14" t="n"/>
      <c r="P168" s="4">
        <f>IF(O168="","",IF(F168&gt;O168,"Above","Below"))</f>
        <v/>
      </c>
      <c r="Q168" s="16" t="n">
        <v>158036</v>
      </c>
      <c r="R168" s="17" t="n">
        <v>0</v>
      </c>
      <c r="S168" s="17" t="n">
        <v>0</v>
      </c>
      <c r="T168" s="17" t="n">
        <v>0</v>
      </c>
      <c r="U168" s="18" t="n">
        <v>0</v>
      </c>
    </row>
    <row r="169">
      <c r="A169" s="13" t="n">
        <v>44714</v>
      </c>
      <c r="B169" s="4">
        <f>TEXT(A169,"ddd")</f>
        <v/>
      </c>
      <c r="C169" s="14" t="n">
        <v>1849.9</v>
      </c>
      <c r="D169" s="14" t="n">
        <v>1874.4</v>
      </c>
      <c r="E169" s="14" t="n">
        <v>1846.5</v>
      </c>
      <c r="F169" s="14" t="n">
        <v>1871.4</v>
      </c>
      <c r="G169" s="9">
        <f>F169-F168</f>
        <v/>
      </c>
      <c r="H169" s="10">
        <f>IF(F168=0,0,G169/F168)</f>
        <v/>
      </c>
      <c r="I169" s="8">
        <f>D169-E169</f>
        <v/>
      </c>
      <c r="J169" s="4">
        <f>IF(F169&gt;C169,"Up",IF(F169&lt;C169,"Down","Flat"))</f>
        <v/>
      </c>
      <c r="K169" s="14" t="n">
        <v>27.22</v>
      </c>
      <c r="L169" s="15" t="n">
        <v>52.79</v>
      </c>
      <c r="M169" s="14" t="n">
        <v>1855.77</v>
      </c>
      <c r="N169" s="14" t="n">
        <v>1876.73</v>
      </c>
      <c r="O169" s="14" t="n"/>
      <c r="P169" s="4">
        <f>IF(O169="","",IF(F169&gt;O169,"Above","Below"))</f>
        <v/>
      </c>
      <c r="Q169" s="16" t="n">
        <v>127471</v>
      </c>
      <c r="R169" s="17" t="n">
        <v>0</v>
      </c>
      <c r="S169" s="17" t="n">
        <v>0</v>
      </c>
      <c r="T169" s="17" t="n">
        <v>0</v>
      </c>
      <c r="U169" s="18" t="n">
        <v>0</v>
      </c>
    </row>
    <row r="170">
      <c r="A170" s="13" t="n">
        <v>44715</v>
      </c>
      <c r="B170" s="4">
        <f>TEXT(A170,"ddd")</f>
        <v/>
      </c>
      <c r="C170" s="14" t="n">
        <v>1872.6</v>
      </c>
      <c r="D170" s="14" t="n">
        <v>1878.6</v>
      </c>
      <c r="E170" s="14" t="n">
        <v>1849.7</v>
      </c>
      <c r="F170" s="14" t="n">
        <v>1850.2</v>
      </c>
      <c r="G170" s="9">
        <f>F170-F169</f>
        <v/>
      </c>
      <c r="H170" s="10">
        <f>IF(F169=0,0,G170/F169)</f>
        <v/>
      </c>
      <c r="I170" s="8">
        <f>D170-E170</f>
        <v/>
      </c>
      <c r="J170" s="4">
        <f>IF(F170&gt;C170,"Up",IF(F170&lt;C170,"Down","Flat"))</f>
        <v/>
      </c>
      <c r="K170" s="14" t="n">
        <v>27.34</v>
      </c>
      <c r="L170" s="15" t="n">
        <v>46.63</v>
      </c>
      <c r="M170" s="14" t="n">
        <v>1855.24</v>
      </c>
      <c r="N170" s="14" t="n">
        <v>1875.69</v>
      </c>
      <c r="O170" s="14" t="n"/>
      <c r="P170" s="4">
        <f>IF(O170="","",IF(F170&gt;O170,"Above","Below"))</f>
        <v/>
      </c>
      <c r="Q170" s="16" t="n">
        <v>115343</v>
      </c>
      <c r="R170" s="17" t="n">
        <v>0</v>
      </c>
      <c r="S170" s="17" t="n">
        <v>0</v>
      </c>
      <c r="T170" s="17" t="n">
        <v>0</v>
      </c>
      <c r="U170" s="18" t="n">
        <v>0</v>
      </c>
    </row>
    <row r="171">
      <c r="A171" s="13" t="n">
        <v>44718</v>
      </c>
      <c r="B171" s="4">
        <f>TEXT(A171,"ddd")</f>
        <v/>
      </c>
      <c r="C171" s="14" t="n">
        <v>1853.7</v>
      </c>
      <c r="D171" s="14" t="n">
        <v>1861.2</v>
      </c>
      <c r="E171" s="14" t="n">
        <v>1843</v>
      </c>
      <c r="F171" s="14" t="n">
        <v>1843.7</v>
      </c>
      <c r="G171" s="9">
        <f>F171-F170</f>
        <v/>
      </c>
      <c r="H171" s="10">
        <f>IF(F170=0,0,G171/F170)</f>
        <v/>
      </c>
      <c r="I171" s="8">
        <f>D171-E171</f>
        <v/>
      </c>
      <c r="J171" s="4">
        <f>IF(F171&gt;C171,"Up",IF(F171&lt;C171,"Down","Flat"))</f>
        <v/>
      </c>
      <c r="K171" s="14" t="n">
        <v>26.69</v>
      </c>
      <c r="L171" s="15" t="n">
        <v>44.9</v>
      </c>
      <c r="M171" s="14" t="n">
        <v>1854.14</v>
      </c>
      <c r="N171" s="14" t="n">
        <v>1874.43</v>
      </c>
      <c r="O171" s="14" t="n"/>
      <c r="P171" s="4">
        <f>IF(O171="","",IF(F171&gt;O171,"Above","Below"))</f>
        <v/>
      </c>
      <c r="Q171" s="16" t="n">
        <v>103179</v>
      </c>
      <c r="R171" s="17" t="n">
        <v>0</v>
      </c>
      <c r="S171" s="17" t="n">
        <v>0</v>
      </c>
      <c r="T171" s="17" t="n">
        <v>0</v>
      </c>
      <c r="U171" s="18" t="n">
        <v>0</v>
      </c>
    </row>
    <row r="172">
      <c r="A172" s="13" t="n">
        <v>44719</v>
      </c>
      <c r="B172" s="4">
        <f>TEXT(A172,"ddd")</f>
        <v/>
      </c>
      <c r="C172" s="14" t="n">
        <v>1843.5</v>
      </c>
      <c r="D172" s="14" t="n">
        <v>1858.2</v>
      </c>
      <c r="E172" s="14" t="n">
        <v>1838.5</v>
      </c>
      <c r="F172" s="14" t="n">
        <v>1852.1</v>
      </c>
      <c r="G172" s="9">
        <f>F172-F171</f>
        <v/>
      </c>
      <c r="H172" s="10">
        <f>IF(F171=0,0,G172/F171)</f>
        <v/>
      </c>
      <c r="I172" s="8">
        <f>D172-E172</f>
        <v/>
      </c>
      <c r="J172" s="4">
        <f>IF(F172&gt;C172,"Up",IF(F172&lt;C172,"Down","Flat"))</f>
        <v/>
      </c>
      <c r="K172" s="14" t="n">
        <v>26.19</v>
      </c>
      <c r="L172" s="15" t="n">
        <v>47.61</v>
      </c>
      <c r="M172" s="14" t="n">
        <v>1853.95</v>
      </c>
      <c r="N172" s="14" t="n">
        <v>1873.56</v>
      </c>
      <c r="O172" s="14" t="n"/>
      <c r="P172" s="4">
        <f>IF(O172="","",IF(F172&gt;O172,"Above","Below"))</f>
        <v/>
      </c>
      <c r="Q172" s="16" t="n">
        <v>119211</v>
      </c>
      <c r="R172" s="17" t="n">
        <v>0</v>
      </c>
      <c r="S172" s="17" t="n">
        <v>0</v>
      </c>
      <c r="T172" s="17" t="n">
        <v>0</v>
      </c>
      <c r="U172" s="18" t="n">
        <v>0</v>
      </c>
    </row>
    <row r="173">
      <c r="A173" s="13" t="n">
        <v>44720</v>
      </c>
      <c r="B173" s="4">
        <f>TEXT(A173,"ddd")</f>
        <v/>
      </c>
      <c r="C173" s="14" t="n">
        <v>1855</v>
      </c>
      <c r="D173" s="14" t="n">
        <v>1862.4</v>
      </c>
      <c r="E173" s="14" t="n">
        <v>1846.6</v>
      </c>
      <c r="F173" s="14" t="n">
        <v>1856.5</v>
      </c>
      <c r="G173" s="9">
        <f>F173-F172</f>
        <v/>
      </c>
      <c r="H173" s="10">
        <f>IF(F172=0,0,G173/F172)</f>
        <v/>
      </c>
      <c r="I173" s="8">
        <f>D173-E173</f>
        <v/>
      </c>
      <c r="J173" s="4">
        <f>IF(F173&gt;C173,"Up",IF(F173&lt;C173,"Down","Flat"))</f>
        <v/>
      </c>
      <c r="K173" s="14" t="n">
        <v>25.45</v>
      </c>
      <c r="L173" s="15" t="n">
        <v>49.02</v>
      </c>
      <c r="M173" s="14" t="n">
        <v>1854.19</v>
      </c>
      <c r="N173" s="14" t="n">
        <v>1872.89</v>
      </c>
      <c r="O173" s="14" t="n"/>
      <c r="P173" s="4">
        <f>IF(O173="","",IF(F173&gt;O173,"Above","Below"))</f>
        <v/>
      </c>
      <c r="Q173" s="16" t="n">
        <v>114141</v>
      </c>
      <c r="R173" s="17" t="n">
        <v>0</v>
      </c>
      <c r="S173" s="17" t="n">
        <v>0</v>
      </c>
      <c r="T173" s="17" t="n">
        <v>0</v>
      </c>
      <c r="U173" s="18" t="n">
        <v>0</v>
      </c>
    </row>
    <row r="174">
      <c r="A174" s="13" t="n">
        <v>44721</v>
      </c>
      <c r="B174" s="4">
        <f>TEXT(A174,"ddd")</f>
        <v/>
      </c>
      <c r="C174" s="14" t="n">
        <v>1855.1</v>
      </c>
      <c r="D174" s="14" t="n">
        <v>1857.8</v>
      </c>
      <c r="E174" s="14" t="n">
        <v>1841.9</v>
      </c>
      <c r="F174" s="14" t="n">
        <v>1852.8</v>
      </c>
      <c r="G174" s="9">
        <f>F174-F173</f>
        <v/>
      </c>
      <c r="H174" s="10">
        <f>IF(F173=0,0,G174/F173)</f>
        <v/>
      </c>
      <c r="I174" s="8">
        <f>D174-E174</f>
        <v/>
      </c>
      <c r="J174" s="4">
        <f>IF(F174&gt;C174,"Up",IF(F174&lt;C174,"Down","Flat"))</f>
        <v/>
      </c>
      <c r="K174" s="14" t="n">
        <v>24.77</v>
      </c>
      <c r="L174" s="15" t="n">
        <v>47.85</v>
      </c>
      <c r="M174" s="14" t="n">
        <v>1854.06</v>
      </c>
      <c r="N174" s="14" t="n">
        <v>1872.1</v>
      </c>
      <c r="O174" s="14" t="n"/>
      <c r="P174" s="4">
        <f>IF(O174="","",IF(F174&gt;O174,"Above","Below"))</f>
        <v/>
      </c>
      <c r="Q174" s="16" t="n">
        <v>131293</v>
      </c>
      <c r="R174" s="17" t="n">
        <v>0</v>
      </c>
      <c r="S174" s="17" t="n">
        <v>0</v>
      </c>
      <c r="T174" s="17" t="n">
        <v>0</v>
      </c>
      <c r="U174" s="18" t="n">
        <v>0</v>
      </c>
    </row>
    <row r="175">
      <c r="A175" s="13" t="n">
        <v>44722</v>
      </c>
      <c r="B175" s="4">
        <f>TEXT(A175,"ddd")</f>
        <v/>
      </c>
      <c r="C175" s="14" t="n">
        <v>1850.4</v>
      </c>
      <c r="D175" s="14" t="n">
        <v>1879.6</v>
      </c>
      <c r="E175" s="14" t="n">
        <v>1826.5</v>
      </c>
      <c r="F175" s="14" t="n">
        <v>1875.5</v>
      </c>
      <c r="G175" s="9">
        <f>F175-F174</f>
        <v/>
      </c>
      <c r="H175" s="10">
        <f>IF(F174=0,0,G175/F174)</f>
        <v/>
      </c>
      <c r="I175" s="8">
        <f>D175-E175</f>
        <v/>
      </c>
      <c r="J175" s="4">
        <f>IF(F175&gt;C175,"Up",IF(F175&lt;C175,"Down","Flat"))</f>
        <v/>
      </c>
      <c r="K175" s="14" t="n">
        <v>26.79</v>
      </c>
      <c r="L175" s="15" t="n">
        <v>54.94</v>
      </c>
      <c r="M175" s="14" t="n">
        <v>1856.1</v>
      </c>
      <c r="N175" s="14" t="n">
        <v>1872.23</v>
      </c>
      <c r="O175" s="14" t="n"/>
      <c r="P175" s="4">
        <f>IF(O175="","",IF(F175&gt;O175,"Above","Below"))</f>
        <v/>
      </c>
      <c r="Q175" s="16" t="n">
        <v>267204</v>
      </c>
      <c r="R175" s="17" t="n">
        <v>0</v>
      </c>
      <c r="S175" s="17" t="n">
        <v>0</v>
      </c>
      <c r="T175" s="17" t="n">
        <v>0</v>
      </c>
      <c r="U175" s="18" t="n">
        <v>0</v>
      </c>
    </row>
    <row r="176">
      <c r="A176" s="13" t="n">
        <v>44725</v>
      </c>
      <c r="B176" s="4">
        <f>TEXT(A176,"ddd")</f>
        <v/>
      </c>
      <c r="C176" s="14" t="n">
        <v>1879</v>
      </c>
      <c r="D176" s="14" t="n">
        <v>1882.5</v>
      </c>
      <c r="E176" s="14" t="n">
        <v>1819</v>
      </c>
      <c r="F176" s="14" t="n">
        <v>1831.8</v>
      </c>
      <c r="G176" s="9">
        <f>F176-F175</f>
        <v/>
      </c>
      <c r="H176" s="10">
        <f>IF(F175=0,0,G176/F175)</f>
        <v/>
      </c>
      <c r="I176" s="8">
        <f>D176-E176</f>
        <v/>
      </c>
      <c r="J176" s="4">
        <f>IF(F176&gt;C176,"Up",IF(F176&lt;C176,"Down","Flat"))</f>
        <v/>
      </c>
      <c r="K176" s="14" t="n">
        <v>29.41</v>
      </c>
      <c r="L176" s="15" t="n">
        <v>42.86</v>
      </c>
      <c r="M176" s="14" t="n">
        <v>1853.78</v>
      </c>
      <c r="N176" s="14" t="n">
        <v>1870.65</v>
      </c>
      <c r="O176" s="14" t="n"/>
      <c r="P176" s="4">
        <f>IF(O176="","",IF(F176&gt;O176,"Above","Below"))</f>
        <v/>
      </c>
      <c r="Q176" s="16" t="n">
        <v>252543</v>
      </c>
      <c r="R176" s="17" t="n">
        <v>0</v>
      </c>
      <c r="S176" s="17" t="n">
        <v>0</v>
      </c>
      <c r="T176" s="17" t="n">
        <v>0</v>
      </c>
      <c r="U176" s="18" t="n">
        <v>0</v>
      </c>
    </row>
    <row r="177">
      <c r="A177" s="13" t="n">
        <v>44726</v>
      </c>
      <c r="B177" s="4">
        <f>TEXT(A177,"ddd")</f>
        <v/>
      </c>
      <c r="C177" s="14" t="n">
        <v>1820.9</v>
      </c>
      <c r="D177" s="14" t="n">
        <v>1833.3</v>
      </c>
      <c r="E177" s="14" t="n">
        <v>1806.1</v>
      </c>
      <c r="F177" s="14" t="n">
        <v>1813.5</v>
      </c>
      <c r="G177" s="9">
        <f>F177-F176</f>
        <v/>
      </c>
      <c r="H177" s="10">
        <f>IF(F176=0,0,G177/F176)</f>
        <v/>
      </c>
      <c r="I177" s="8">
        <f>D177-E177</f>
        <v/>
      </c>
      <c r="J177" s="4">
        <f>IF(F177&gt;C177,"Up",IF(F177&lt;C177,"Down","Flat"))</f>
        <v/>
      </c>
      <c r="K177" s="14" t="n">
        <v>29.25</v>
      </c>
      <c r="L177" s="15" t="n">
        <v>39</v>
      </c>
      <c r="M177" s="14" t="n">
        <v>1849.95</v>
      </c>
      <c r="N177" s="14" t="n">
        <v>1868.41</v>
      </c>
      <c r="O177" s="14" t="n"/>
      <c r="P177" s="4">
        <f>IF(O177="","",IF(F177&gt;O177,"Above","Below"))</f>
        <v/>
      </c>
      <c r="Q177" s="16" t="n">
        <v>165146</v>
      </c>
      <c r="R177" s="17" t="n">
        <v>0</v>
      </c>
      <c r="S177" s="17" t="n">
        <v>0</v>
      </c>
      <c r="T177" s="17" t="n">
        <v>0</v>
      </c>
      <c r="U177" s="18" t="n">
        <v>0</v>
      </c>
    </row>
    <row r="178">
      <c r="A178" s="13" t="n">
        <v>44727</v>
      </c>
      <c r="B178" s="4">
        <f>TEXT(A178,"ddd")</f>
        <v/>
      </c>
      <c r="C178" s="14" t="n">
        <v>1809.7</v>
      </c>
      <c r="D178" s="14" t="n">
        <v>1845.4</v>
      </c>
      <c r="E178" s="14" t="n">
        <v>1808.4</v>
      </c>
      <c r="F178" s="14" t="n">
        <v>1819.6</v>
      </c>
      <c r="G178" s="9">
        <f>F178-F177</f>
        <v/>
      </c>
      <c r="H178" s="10">
        <f>IF(F177=0,0,G178/F177)</f>
        <v/>
      </c>
      <c r="I178" s="8">
        <f>D178-E178</f>
        <v/>
      </c>
      <c r="J178" s="4">
        <f>IF(F178&gt;C178,"Up",IF(F178&lt;C178,"Down","Flat"))</f>
        <v/>
      </c>
      <c r="K178" s="14" t="n">
        <v>29.81</v>
      </c>
      <c r="L178" s="15" t="n">
        <v>40.91</v>
      </c>
      <c r="M178" s="14" t="n">
        <v>1847.06</v>
      </c>
      <c r="N178" s="14" t="n">
        <v>1866.49</v>
      </c>
      <c r="O178" s="14" t="n"/>
      <c r="P178" s="4">
        <f>IF(O178="","",IF(F178&gt;O178,"Above","Below"))</f>
        <v/>
      </c>
      <c r="Q178" s="16" t="n">
        <v>203421</v>
      </c>
      <c r="R178" s="17" t="n">
        <v>0</v>
      </c>
      <c r="S178" s="17" t="n">
        <v>0</v>
      </c>
      <c r="T178" s="17" t="n">
        <v>0</v>
      </c>
      <c r="U178" s="18" t="n">
        <v>0</v>
      </c>
    </row>
    <row r="179">
      <c r="A179" s="13" t="n">
        <v>44728</v>
      </c>
      <c r="B179" s="4">
        <f>TEXT(A179,"ddd")</f>
        <v/>
      </c>
      <c r="C179" s="14" t="n">
        <v>1835.8</v>
      </c>
      <c r="D179" s="14" t="n">
        <v>1860.2</v>
      </c>
      <c r="E179" s="14" t="n">
        <v>1816.3</v>
      </c>
      <c r="F179" s="14" t="n">
        <v>1849.9</v>
      </c>
      <c r="G179" s="9">
        <f>F179-F178</f>
        <v/>
      </c>
      <c r="H179" s="10">
        <f>IF(F178=0,0,G179/F178)</f>
        <v/>
      </c>
      <c r="I179" s="8">
        <f>D179-E179</f>
        <v/>
      </c>
      <c r="J179" s="4">
        <f>IF(F179&gt;C179,"Up",IF(F179&lt;C179,"Down","Flat"))</f>
        <v/>
      </c>
      <c r="K179" s="14" t="n">
        <v>30.81</v>
      </c>
      <c r="L179" s="15" t="n">
        <v>49.4</v>
      </c>
      <c r="M179" s="14" t="n">
        <v>1847.33</v>
      </c>
      <c r="N179" s="14" t="n">
        <v>1865.84</v>
      </c>
      <c r="O179" s="14" t="n"/>
      <c r="P179" s="4">
        <f>IF(O179="","",IF(F179&gt;O179,"Above","Below"))</f>
        <v/>
      </c>
      <c r="Q179" s="16" t="n">
        <v>180893</v>
      </c>
      <c r="R179" s="17" t="n">
        <v>0</v>
      </c>
      <c r="S179" s="17" t="n">
        <v>0</v>
      </c>
      <c r="T179" s="17" t="n">
        <v>0</v>
      </c>
      <c r="U179" s="18" t="n">
        <v>0</v>
      </c>
    </row>
    <row r="180">
      <c r="A180" s="13" t="n">
        <v>44729</v>
      </c>
      <c r="B180" s="4">
        <f>TEXT(A180,"ddd")</f>
        <v/>
      </c>
      <c r="C180" s="14" t="n">
        <v>1859.3</v>
      </c>
      <c r="D180" s="14" t="n">
        <v>1861.5</v>
      </c>
      <c r="E180" s="14" t="n">
        <v>1836.1</v>
      </c>
      <c r="F180" s="14" t="n">
        <v>1840.6</v>
      </c>
      <c r="G180" s="9">
        <f>F180-F179</f>
        <v/>
      </c>
      <c r="H180" s="10">
        <f>IF(F179=0,0,G180/F179)</f>
        <v/>
      </c>
      <c r="I180" s="8">
        <f>D180-E180</f>
        <v/>
      </c>
      <c r="J180" s="4">
        <f>IF(F180&gt;C180,"Up",IF(F180&lt;C180,"Down","Flat"))</f>
        <v/>
      </c>
      <c r="K180" s="14" t="n">
        <v>30.43</v>
      </c>
      <c r="L180" s="15" t="n">
        <v>47.16</v>
      </c>
      <c r="M180" s="14" t="n">
        <v>1846.69</v>
      </c>
      <c r="N180" s="14" t="n">
        <v>1864.85</v>
      </c>
      <c r="O180" s="14" t="n"/>
      <c r="P180" s="4">
        <f>IF(O180="","",IF(F180&gt;O180,"Above","Below"))</f>
        <v/>
      </c>
      <c r="Q180" s="16" t="n">
        <v>141718</v>
      </c>
      <c r="R180" s="17" t="n">
        <v>0</v>
      </c>
      <c r="S180" s="17" t="n">
        <v>0</v>
      </c>
      <c r="T180" s="17" t="n">
        <v>0</v>
      </c>
      <c r="U180" s="18" t="n">
        <v>0</v>
      </c>
    </row>
    <row r="181">
      <c r="A181" s="13" t="n">
        <v>44733</v>
      </c>
      <c r="B181" s="4">
        <f>TEXT(A181,"ddd")</f>
        <v/>
      </c>
      <c r="C181" s="14" t="n">
        <v>1840.6</v>
      </c>
      <c r="D181" s="14" t="n">
        <v>1848.4</v>
      </c>
      <c r="E181" s="14" t="n">
        <v>1830.7</v>
      </c>
      <c r="F181" s="14" t="n">
        <v>1838.8</v>
      </c>
      <c r="G181" s="9">
        <f>F181-F180</f>
        <v/>
      </c>
      <c r="H181" s="10">
        <f>IF(F180=0,0,G181/F180)</f>
        <v/>
      </c>
      <c r="I181" s="8">
        <f>D181-E181</f>
        <v/>
      </c>
      <c r="J181" s="4">
        <f>IF(F181&gt;C181,"Up",IF(F181&lt;C181,"Down","Flat"))</f>
        <v/>
      </c>
      <c r="K181" s="14" t="n">
        <v>29.52</v>
      </c>
      <c r="L181" s="15" t="n">
        <v>46.72</v>
      </c>
      <c r="M181" s="14" t="n">
        <v>1845.94</v>
      </c>
      <c r="N181" s="14" t="n">
        <v>1863.83</v>
      </c>
      <c r="O181" s="14" t="n"/>
      <c r="P181" s="4">
        <f>IF(O181="","",IF(F181&gt;O181,"Above","Below"))</f>
        <v/>
      </c>
      <c r="Q181" s="16" t="n">
        <v>176299</v>
      </c>
      <c r="R181" s="17" t="n">
        <v>0</v>
      </c>
      <c r="S181" s="17" t="n">
        <v>0</v>
      </c>
      <c r="T181" s="17" t="n">
        <v>0</v>
      </c>
      <c r="U181" s="18" t="n">
        <v>0</v>
      </c>
    </row>
    <row r="182">
      <c r="A182" s="13" t="n">
        <v>44734</v>
      </c>
      <c r="B182" s="4">
        <f>TEXT(A182,"ddd")</f>
        <v/>
      </c>
      <c r="C182" s="14" t="n">
        <v>1834.9</v>
      </c>
      <c r="D182" s="14" t="n">
        <v>1850.3</v>
      </c>
      <c r="E182" s="14" t="n">
        <v>1824.5</v>
      </c>
      <c r="F182" s="14" t="n">
        <v>1838.4</v>
      </c>
      <c r="G182" s="9">
        <f>F182-F181</f>
        <v/>
      </c>
      <c r="H182" s="10">
        <f>IF(F181=0,0,G182/F181)</f>
        <v/>
      </c>
      <c r="I182" s="8">
        <f>D182-E182</f>
        <v/>
      </c>
      <c r="J182" s="4">
        <f>IF(F182&gt;C182,"Up",IF(F182&lt;C182,"Down","Flat"))</f>
        <v/>
      </c>
      <c r="K182" s="14" t="n">
        <v>29.25</v>
      </c>
      <c r="L182" s="15" t="n">
        <v>46.61</v>
      </c>
      <c r="M182" s="14" t="n">
        <v>1845.22</v>
      </c>
      <c r="N182" s="14" t="n">
        <v>1862.83</v>
      </c>
      <c r="O182" s="14" t="n"/>
      <c r="P182" s="4">
        <f>IF(O182="","",IF(F182&gt;O182,"Above","Below"))</f>
        <v/>
      </c>
      <c r="Q182" s="16" t="n">
        <v>149553</v>
      </c>
      <c r="R182" s="17" t="n">
        <v>0</v>
      </c>
      <c r="S182" s="17" t="n">
        <v>0</v>
      </c>
      <c r="T182" s="17" t="n">
        <v>0</v>
      </c>
      <c r="U182" s="18" t="n">
        <v>0</v>
      </c>
    </row>
    <row r="183">
      <c r="A183" s="13" t="n">
        <v>44735</v>
      </c>
      <c r="B183" s="4">
        <f>TEXT(A183,"ddd")</f>
        <v/>
      </c>
      <c r="C183" s="14" t="n">
        <v>1839.7</v>
      </c>
      <c r="D183" s="14" t="n">
        <v>1848.9</v>
      </c>
      <c r="E183" s="14" t="n">
        <v>1823.5</v>
      </c>
      <c r="F183" s="14" t="n">
        <v>1829.8</v>
      </c>
      <c r="G183" s="9">
        <f>F183-F182</f>
        <v/>
      </c>
      <c r="H183" s="10">
        <f>IF(F182=0,0,G183/F182)</f>
        <v/>
      </c>
      <c r="I183" s="8">
        <f>D183-E183</f>
        <v/>
      </c>
      <c r="J183" s="4">
        <f>IF(F183&gt;C183,"Up",IF(F183&lt;C183,"Down","Flat"))</f>
        <v/>
      </c>
      <c r="K183" s="14" t="n">
        <v>28.98</v>
      </c>
      <c r="L183" s="15" t="n">
        <v>44.32</v>
      </c>
      <c r="M183" s="14" t="n">
        <v>1843.75</v>
      </c>
      <c r="N183" s="14" t="n">
        <v>1861.54</v>
      </c>
      <c r="O183" s="14" t="n"/>
      <c r="P183" s="4">
        <f>IF(O183="","",IF(F183&gt;O183,"Above","Below"))</f>
        <v/>
      </c>
      <c r="Q183" s="16" t="n">
        <v>167071</v>
      </c>
      <c r="R183" s="17" t="n">
        <v>0</v>
      </c>
      <c r="S183" s="17" t="n">
        <v>0</v>
      </c>
      <c r="T183" s="17" t="n">
        <v>0</v>
      </c>
      <c r="U183" s="18" t="n">
        <v>0</v>
      </c>
    </row>
    <row r="184">
      <c r="A184" s="13" t="n">
        <v>44736</v>
      </c>
      <c r="B184" s="4">
        <f>TEXT(A184,"ddd")</f>
        <v/>
      </c>
      <c r="C184" s="14" t="n">
        <v>1824.2</v>
      </c>
      <c r="D184" s="14" t="n">
        <v>1833.7</v>
      </c>
      <c r="E184" s="14" t="n">
        <v>1817.7</v>
      </c>
      <c r="F184" s="14" t="n">
        <v>1830.3</v>
      </c>
      <c r="G184" s="9">
        <f>F184-F183</f>
        <v/>
      </c>
      <c r="H184" s="10">
        <f>IF(F183=0,0,G184/F183)</f>
        <v/>
      </c>
      <c r="I184" s="8">
        <f>D184-E184</f>
        <v/>
      </c>
      <c r="J184" s="4">
        <f>IF(F184&gt;C184,"Up",IF(F184&lt;C184,"Down","Flat"))</f>
        <v/>
      </c>
      <c r="K184" s="14" t="n">
        <v>28.05</v>
      </c>
      <c r="L184" s="15" t="n">
        <v>44.49</v>
      </c>
      <c r="M184" s="14" t="n">
        <v>1842.47</v>
      </c>
      <c r="N184" s="14" t="n">
        <v>1860.31</v>
      </c>
      <c r="O184" s="14" t="n"/>
      <c r="P184" s="4">
        <f>IF(O184="","",IF(F184&gt;O184,"Above","Below"))</f>
        <v/>
      </c>
      <c r="Q184" s="16" t="n">
        <v>139723</v>
      </c>
      <c r="R184" s="17" t="n">
        <v>0</v>
      </c>
      <c r="S184" s="17" t="n">
        <v>0</v>
      </c>
      <c r="T184" s="17" t="n">
        <v>0</v>
      </c>
      <c r="U184" s="18" t="n">
        <v>0</v>
      </c>
    </row>
    <row r="185">
      <c r="A185" s="13" t="n">
        <v>44739</v>
      </c>
      <c r="B185" s="4">
        <f>TEXT(A185,"ddd")</f>
        <v/>
      </c>
      <c r="C185" s="14" t="n">
        <v>1839.6</v>
      </c>
      <c r="D185" s="14" t="n">
        <v>1842.8</v>
      </c>
      <c r="E185" s="14" t="n">
        <v>1821.8</v>
      </c>
      <c r="F185" s="14" t="n">
        <v>1824.8</v>
      </c>
      <c r="G185" s="9">
        <f>F185-F184</f>
        <v/>
      </c>
      <c r="H185" s="10">
        <f>IF(F184=0,0,G185/F184)</f>
        <v/>
      </c>
      <c r="I185" s="8">
        <f>D185-E185</f>
        <v/>
      </c>
      <c r="J185" s="4">
        <f>IF(F185&gt;C185,"Up",IF(F185&lt;C185,"Down","Flat"))</f>
        <v/>
      </c>
      <c r="K185" s="14" t="n">
        <v>27.55</v>
      </c>
      <c r="L185" s="15" t="n">
        <v>42.93</v>
      </c>
      <c r="M185" s="14" t="n">
        <v>1840.79</v>
      </c>
      <c r="N185" s="14" t="n">
        <v>1858.92</v>
      </c>
      <c r="O185" s="14" t="n"/>
      <c r="P185" s="4">
        <f>IF(O185="","",IF(F185&gt;O185,"Above","Below"))</f>
        <v/>
      </c>
      <c r="Q185" s="16" t="n">
        <v>143820</v>
      </c>
      <c r="R185" s="17" t="n">
        <v>0</v>
      </c>
      <c r="S185" s="17" t="n">
        <v>0</v>
      </c>
      <c r="T185" s="17" t="n">
        <v>0</v>
      </c>
      <c r="U185" s="18" t="n">
        <v>0</v>
      </c>
    </row>
    <row r="186">
      <c r="A186" s="13" t="n">
        <v>44740</v>
      </c>
      <c r="B186" s="4">
        <f>TEXT(A186,"ddd")</f>
        <v/>
      </c>
      <c r="C186" s="14" t="n">
        <v>1823.6</v>
      </c>
      <c r="D186" s="14" t="n">
        <v>1830.9</v>
      </c>
      <c r="E186" s="14" t="n">
        <v>1819.1</v>
      </c>
      <c r="F186" s="14" t="n">
        <v>1821.2</v>
      </c>
      <c r="G186" s="9">
        <f>F186-F185</f>
        <v/>
      </c>
      <c r="H186" s="10">
        <f>IF(F185=0,0,G186/F185)</f>
        <v/>
      </c>
      <c r="I186" s="8">
        <f>D186-E186</f>
        <v/>
      </c>
      <c r="J186" s="4">
        <f>IF(F186&gt;C186,"Up",IF(F186&lt;C186,"Down","Flat"))</f>
        <v/>
      </c>
      <c r="K186" s="14" t="n">
        <v>26.42</v>
      </c>
      <c r="L186" s="15" t="n">
        <v>41.89</v>
      </c>
      <c r="M186" s="14" t="n">
        <v>1838.92</v>
      </c>
      <c r="N186" s="14" t="n">
        <v>1857.44</v>
      </c>
      <c r="O186" s="14" t="n"/>
      <c r="P186" s="4">
        <f>IF(O186="","",IF(F186&gt;O186,"Above","Below"))</f>
        <v/>
      </c>
      <c r="Q186" s="16" t="n">
        <v>111397</v>
      </c>
      <c r="R186" s="17" t="n">
        <v>0</v>
      </c>
      <c r="S186" s="17" t="n">
        <v>0</v>
      </c>
      <c r="T186" s="17" t="n">
        <v>0</v>
      </c>
      <c r="U186" s="18" t="n">
        <v>0</v>
      </c>
    </row>
    <row r="187">
      <c r="A187" s="13" t="n">
        <v>44741</v>
      </c>
      <c r="B187" s="4">
        <f>TEXT(A187,"ddd")</f>
        <v/>
      </c>
      <c r="C187" s="14" t="n">
        <v>1821.4</v>
      </c>
      <c r="D187" s="14" t="n">
        <v>1834.9</v>
      </c>
      <c r="E187" s="14" t="n">
        <v>1810.7</v>
      </c>
      <c r="F187" s="14" t="n">
        <v>1817.5</v>
      </c>
      <c r="G187" s="9">
        <f>F187-F186</f>
        <v/>
      </c>
      <c r="H187" s="10">
        <f>IF(F186=0,0,G187/F186)</f>
        <v/>
      </c>
      <c r="I187" s="8">
        <f>D187-E187</f>
        <v/>
      </c>
      <c r="J187" s="4">
        <f>IF(F187&gt;C187,"Up",IF(F187&lt;C187,"Down","Flat"))</f>
        <v/>
      </c>
      <c r="K187" s="14" t="n">
        <v>26.26</v>
      </c>
      <c r="L187" s="15" t="n">
        <v>40.8</v>
      </c>
      <c r="M187" s="14" t="n">
        <v>1836.88</v>
      </c>
      <c r="N187" s="14" t="n">
        <v>1855.87</v>
      </c>
      <c r="O187" s="14" t="n"/>
      <c r="P187" s="4">
        <f>IF(O187="","",IF(F187&gt;O187,"Above","Below"))</f>
        <v/>
      </c>
      <c r="Q187" s="16" t="n">
        <v>155542</v>
      </c>
      <c r="R187" s="17" t="n">
        <v>0</v>
      </c>
      <c r="S187" s="17" t="n">
        <v>0</v>
      </c>
      <c r="T187" s="17" t="n">
        <v>0</v>
      </c>
      <c r="U187" s="18" t="n">
        <v>0</v>
      </c>
    </row>
    <row r="188">
      <c r="A188" s="13" t="n">
        <v>44742</v>
      </c>
      <c r="B188" s="4">
        <f>TEXT(A188,"ddd")</f>
        <v/>
      </c>
      <c r="C188" s="14" t="n">
        <v>1819.2</v>
      </c>
      <c r="D188" s="14" t="n">
        <v>1826.8</v>
      </c>
      <c r="E188" s="14" t="n">
        <v>1802.5</v>
      </c>
      <c r="F188" s="14" t="n">
        <v>1807.3</v>
      </c>
      <c r="G188" s="9">
        <f>F188-F187</f>
        <v/>
      </c>
      <c r="H188" s="10">
        <f>IF(F187=0,0,G188/F187)</f>
        <v/>
      </c>
      <c r="I188" s="8">
        <f>D188-E188</f>
        <v/>
      </c>
      <c r="J188" s="4">
        <f>IF(F188&gt;C188,"Up",IF(F188&lt;C188,"Down","Flat"))</f>
        <v/>
      </c>
      <c r="K188" s="14" t="n">
        <v>26.12</v>
      </c>
      <c r="L188" s="15" t="n">
        <v>37.87</v>
      </c>
      <c r="M188" s="14" t="n">
        <v>1834.06</v>
      </c>
      <c r="N188" s="14" t="n">
        <v>1853.97</v>
      </c>
      <c r="O188" s="14" t="n"/>
      <c r="P188" s="4">
        <f>IF(O188="","",IF(F188&gt;O188,"Above","Below"))</f>
        <v/>
      </c>
      <c r="Q188" s="16" t="n">
        <v>208898</v>
      </c>
      <c r="R188" s="17" t="n">
        <v>0</v>
      </c>
      <c r="S188" s="17" t="n">
        <v>0</v>
      </c>
      <c r="T188" s="17" t="n">
        <v>0</v>
      </c>
      <c r="U188" s="18" t="n">
        <v>0</v>
      </c>
    </row>
    <row r="189">
      <c r="A189" s="13" t="n">
        <v>44743</v>
      </c>
      <c r="B189" s="4">
        <f>TEXT(A189,"ddd")</f>
        <v/>
      </c>
      <c r="C189" s="14" t="n">
        <v>1808.1</v>
      </c>
      <c r="D189" s="14" t="n">
        <v>1813.6</v>
      </c>
      <c r="E189" s="14" t="n">
        <v>1783.4</v>
      </c>
      <c r="F189" s="14" t="n">
        <v>1801.5</v>
      </c>
      <c r="G189" s="9">
        <f>F189-F188</f>
        <v/>
      </c>
      <c r="H189" s="10">
        <f>IF(F188=0,0,G189/F188)</f>
        <v/>
      </c>
      <c r="I189" s="8">
        <f>D189-E189</f>
        <v/>
      </c>
      <c r="J189" s="4">
        <f>IF(F189&gt;C189,"Up",IF(F189&lt;C189,"Down","Flat"))</f>
        <v/>
      </c>
      <c r="K189" s="14" t="n">
        <v>26.41</v>
      </c>
      <c r="L189" s="15" t="n">
        <v>36.28</v>
      </c>
      <c r="M189" s="14" t="n">
        <v>1830.96</v>
      </c>
      <c r="N189" s="14" t="n">
        <v>1851.91</v>
      </c>
      <c r="O189" s="14" t="n"/>
      <c r="P189" s="4">
        <f>IF(O189="","",IF(F189&gt;O189,"Above","Below"))</f>
        <v/>
      </c>
      <c r="Q189" s="16" t="n">
        <v>249489</v>
      </c>
      <c r="R189" s="17" t="n">
        <v>0</v>
      </c>
      <c r="S189" s="17" t="n">
        <v>0</v>
      </c>
      <c r="T189" s="17" t="n">
        <v>0</v>
      </c>
      <c r="U189" s="18" t="n">
        <v>0</v>
      </c>
    </row>
    <row r="190">
      <c r="A190" s="13" t="n">
        <v>44747</v>
      </c>
      <c r="B190" s="4">
        <f>TEXT(A190,"ddd")</f>
        <v/>
      </c>
      <c r="C190" s="14" t="n">
        <v>1814.4</v>
      </c>
      <c r="D190" s="14" t="n">
        <v>1815.2</v>
      </c>
      <c r="E190" s="14" t="n">
        <v>1763</v>
      </c>
      <c r="F190" s="14" t="n">
        <v>1763.9</v>
      </c>
      <c r="G190" s="9">
        <f>F190-F189</f>
        <v/>
      </c>
      <c r="H190" s="10">
        <f>IF(F189=0,0,G190/F189)</f>
        <v/>
      </c>
      <c r="I190" s="8">
        <f>D190-E190</f>
        <v/>
      </c>
      <c r="J190" s="4">
        <f>IF(F190&gt;C190,"Up",IF(F190&lt;C190,"Down","Flat"))</f>
        <v/>
      </c>
      <c r="K190" s="14" t="n">
        <v>28.26</v>
      </c>
      <c r="L190" s="15" t="n">
        <v>28.04</v>
      </c>
      <c r="M190" s="14" t="n">
        <v>1824.58</v>
      </c>
      <c r="N190" s="14" t="n">
        <v>1848.46</v>
      </c>
      <c r="O190" s="14" t="n"/>
      <c r="P190" s="4">
        <f>IF(O190="","",IF(F190&gt;O190,"Above","Below"))</f>
        <v/>
      </c>
      <c r="Q190" s="16" t="n">
        <v>310369</v>
      </c>
      <c r="R190" s="17" t="n">
        <v>0</v>
      </c>
      <c r="S190" s="17" t="n">
        <v>0</v>
      </c>
      <c r="T190" s="17" t="n">
        <v>0</v>
      </c>
      <c r="U190" s="18" t="n">
        <v>0</v>
      </c>
    </row>
    <row r="191">
      <c r="A191" s="13" t="n">
        <v>44748</v>
      </c>
      <c r="B191" s="4">
        <f>TEXT(A191,"ddd")</f>
        <v/>
      </c>
      <c r="C191" s="14" t="n">
        <v>1764.2</v>
      </c>
      <c r="D191" s="14" t="n">
        <v>1771.5</v>
      </c>
      <c r="E191" s="14" t="n">
        <v>1730.7</v>
      </c>
      <c r="F191" s="14" t="n">
        <v>1736.5</v>
      </c>
      <c r="G191" s="9">
        <f>F191-F190</f>
        <v/>
      </c>
      <c r="H191" s="10">
        <f>IF(F190=0,0,G191/F190)</f>
        <v/>
      </c>
      <c r="I191" s="8">
        <f>D191-E191</f>
        <v/>
      </c>
      <c r="J191" s="4">
        <f>IF(F191&gt;C191,"Up",IF(F191&lt;C191,"Down","Flat"))</f>
        <v/>
      </c>
      <c r="K191" s="14" t="n">
        <v>29.15</v>
      </c>
      <c r="L191" s="15" t="n">
        <v>23.8</v>
      </c>
      <c r="M191" s="14" t="n">
        <v>1816.19</v>
      </c>
      <c r="N191" s="14" t="n">
        <v>1844.07</v>
      </c>
      <c r="O191" s="14" t="n"/>
      <c r="P191" s="4">
        <f>IF(O191="","",IF(F191&gt;O191,"Above","Below"))</f>
        <v/>
      </c>
      <c r="Q191" s="16" t="n">
        <v>258824</v>
      </c>
      <c r="R191" s="17" t="n">
        <v>0</v>
      </c>
      <c r="S191" s="17" t="n">
        <v>0</v>
      </c>
      <c r="T191" s="17" t="n">
        <v>0</v>
      </c>
      <c r="U191" s="18" t="n">
        <v>0</v>
      </c>
    </row>
    <row r="192">
      <c r="A192" s="13" t="n">
        <v>44749</v>
      </c>
      <c r="B192" s="4">
        <f>TEXT(A192,"ddd")</f>
        <v/>
      </c>
      <c r="C192" s="14" t="n">
        <v>1737.2</v>
      </c>
      <c r="D192" s="14" t="n">
        <v>1748.2</v>
      </c>
      <c r="E192" s="14" t="n">
        <v>1734.7</v>
      </c>
      <c r="F192" s="14" t="n">
        <v>1739.7</v>
      </c>
      <c r="G192" s="9">
        <f>F192-F191</f>
        <v/>
      </c>
      <c r="H192" s="10">
        <f>IF(F191=0,0,G192/F191)</f>
        <v/>
      </c>
      <c r="I192" s="8">
        <f>D192-E192</f>
        <v/>
      </c>
      <c r="J192" s="4">
        <f>IF(F192&gt;C192,"Up",IF(F192&lt;C192,"Down","Flat"))</f>
        <v/>
      </c>
      <c r="K192" s="14" t="n">
        <v>28.03</v>
      </c>
      <c r="L192" s="15" t="n">
        <v>25.22</v>
      </c>
      <c r="M192" s="14" t="n">
        <v>1808.9</v>
      </c>
      <c r="N192" s="14" t="n">
        <v>1839.98</v>
      </c>
      <c r="O192" s="14" t="n"/>
      <c r="P192" s="4">
        <f>IF(O192="","",IF(F192&gt;O192,"Above","Below"))</f>
        <v/>
      </c>
      <c r="Q192" s="16" t="n">
        <v>151256</v>
      </c>
      <c r="R192" s="17" t="n">
        <v>0</v>
      </c>
      <c r="S192" s="17" t="n">
        <v>0</v>
      </c>
      <c r="T192" s="17" t="n">
        <v>0</v>
      </c>
      <c r="U192" s="18" t="n">
        <v>0</v>
      </c>
    </row>
    <row r="193">
      <c r="A193" s="13" t="n">
        <v>44750</v>
      </c>
      <c r="B193" s="4">
        <f>TEXT(A193,"ddd")</f>
        <v/>
      </c>
      <c r="C193" s="14" t="n">
        <v>1738.7</v>
      </c>
      <c r="D193" s="14" t="n">
        <v>1751.7</v>
      </c>
      <c r="E193" s="14" t="n">
        <v>1726</v>
      </c>
      <c r="F193" s="14" t="n">
        <v>1742.3</v>
      </c>
      <c r="G193" s="9">
        <f>F193-F192</f>
        <v/>
      </c>
      <c r="H193" s="10">
        <f>IF(F192=0,0,G193/F192)</f>
        <v/>
      </c>
      <c r="I193" s="8">
        <f>D193-E193</f>
        <v/>
      </c>
      <c r="J193" s="4">
        <f>IF(F193&gt;C193,"Up",IF(F193&lt;C193,"Down","Flat"))</f>
        <v/>
      </c>
      <c r="K193" s="14" t="n">
        <v>27.87</v>
      </c>
      <c r="L193" s="15" t="n">
        <v>26.42</v>
      </c>
      <c r="M193" s="14" t="n">
        <v>1802.56</v>
      </c>
      <c r="N193" s="14" t="n">
        <v>1836.15</v>
      </c>
      <c r="O193" s="14" t="n"/>
      <c r="P193" s="4">
        <f>IF(O193="","",IF(F193&gt;O193,"Above","Below"))</f>
        <v/>
      </c>
      <c r="Q193" s="16" t="n">
        <v>189178</v>
      </c>
      <c r="R193" s="17" t="n">
        <v>0</v>
      </c>
      <c r="S193" s="17" t="n">
        <v>0</v>
      </c>
      <c r="T193" s="17" t="n">
        <v>0</v>
      </c>
      <c r="U193" s="18" t="n">
        <v>0</v>
      </c>
    </row>
    <row r="194">
      <c r="A194" s="13" t="n">
        <v>44753</v>
      </c>
      <c r="B194" s="4">
        <f>TEXT(A194,"ddd")</f>
        <v/>
      </c>
      <c r="C194" s="14" t="n">
        <v>1741.5</v>
      </c>
      <c r="D194" s="14" t="n">
        <v>1743</v>
      </c>
      <c r="E194" s="14" t="n">
        <v>1729</v>
      </c>
      <c r="F194" s="14" t="n">
        <v>1731.7</v>
      </c>
      <c r="G194" s="9">
        <f>F194-F193</f>
        <v/>
      </c>
      <c r="H194" s="10">
        <f>IF(F193=0,0,G194/F193)</f>
        <v/>
      </c>
      <c r="I194" s="8">
        <f>D194-E194</f>
        <v/>
      </c>
      <c r="J194" s="4">
        <f>IF(F194&gt;C194,"Up",IF(F194&lt;C194,"Down","Flat"))</f>
        <v/>
      </c>
      <c r="K194" s="14" t="n">
        <v>26.88</v>
      </c>
      <c r="L194" s="15" t="n">
        <v>24.68</v>
      </c>
      <c r="M194" s="14" t="n">
        <v>1795.81</v>
      </c>
      <c r="N194" s="14" t="n">
        <v>1832.05</v>
      </c>
      <c r="O194" s="14" t="n"/>
      <c r="P194" s="4">
        <f>IF(O194="","",IF(F194&gt;O194,"Above","Below"))</f>
        <v/>
      </c>
      <c r="Q194" s="16" t="n">
        <v>171902</v>
      </c>
      <c r="R194" s="17" t="n">
        <v>0</v>
      </c>
      <c r="S194" s="17" t="n">
        <v>0</v>
      </c>
      <c r="T194" s="17" t="n">
        <v>0</v>
      </c>
      <c r="U194" s="18" t="n">
        <v>0</v>
      </c>
    </row>
    <row r="195">
      <c r="A195" s="13" t="n">
        <v>44754</v>
      </c>
      <c r="B195" s="4">
        <f>TEXT(A195,"ddd")</f>
        <v/>
      </c>
      <c r="C195" s="14" t="n">
        <v>1731.3</v>
      </c>
      <c r="D195" s="14" t="n">
        <v>1742.2</v>
      </c>
      <c r="E195" s="14" t="n">
        <v>1721.6</v>
      </c>
      <c r="F195" s="14" t="n">
        <v>1724.8</v>
      </c>
      <c r="G195" s="9">
        <f>F195-F194</f>
        <v/>
      </c>
      <c r="H195" s="10">
        <f>IF(F194=0,0,G195/F194)</f>
        <v/>
      </c>
      <c r="I195" s="8">
        <f>D195-E195</f>
        <v/>
      </c>
      <c r="J195" s="4">
        <f>IF(F195&gt;C195,"Up",IF(F195&lt;C195,"Down","Flat"))</f>
        <v/>
      </c>
      <c r="K195" s="14" t="n">
        <v>26.43</v>
      </c>
      <c r="L195" s="15" t="n">
        <v>23.59</v>
      </c>
      <c r="M195" s="14" t="n">
        <v>1789.05</v>
      </c>
      <c r="N195" s="14" t="n">
        <v>1827.84</v>
      </c>
      <c r="O195" s="14" t="n"/>
      <c r="P195" s="4">
        <f>IF(O195="","",IF(F195&gt;O195,"Above","Below"))</f>
        <v/>
      </c>
      <c r="Q195" s="16" t="n">
        <v>255170</v>
      </c>
      <c r="R195" s="17" t="n">
        <v>0</v>
      </c>
      <c r="S195" s="17" t="n">
        <v>0</v>
      </c>
      <c r="T195" s="17" t="n">
        <v>0</v>
      </c>
      <c r="U195" s="18" t="n">
        <v>0</v>
      </c>
    </row>
    <row r="196">
      <c r="A196" s="13" t="n">
        <v>44755</v>
      </c>
      <c r="B196" s="4">
        <f>TEXT(A196,"ddd")</f>
        <v/>
      </c>
      <c r="C196" s="14" t="n">
        <v>1723.6</v>
      </c>
      <c r="D196" s="14" t="n">
        <v>1744.3</v>
      </c>
      <c r="E196" s="14" t="n">
        <v>1704.5</v>
      </c>
      <c r="F196" s="14" t="n">
        <v>1735.5</v>
      </c>
      <c r="G196" s="9">
        <f>F196-F195</f>
        <v/>
      </c>
      <c r="H196" s="10">
        <f>IF(F195=0,0,G196/F195)</f>
        <v/>
      </c>
      <c r="I196" s="8">
        <f>D196-E196</f>
        <v/>
      </c>
      <c r="J196" s="4">
        <f>IF(F196&gt;C196,"Up",IF(F196&lt;C196,"Down","Flat"))</f>
        <v/>
      </c>
      <c r="K196" s="14" t="n">
        <v>27.38</v>
      </c>
      <c r="L196" s="15" t="n">
        <v>28.84</v>
      </c>
      <c r="M196" s="14" t="n">
        <v>1783.95</v>
      </c>
      <c r="N196" s="14" t="n">
        <v>1824.22</v>
      </c>
      <c r="O196" s="14" t="n"/>
      <c r="P196" s="4">
        <f>IF(O196="","",IF(F196&gt;O196,"Above","Below"))</f>
        <v/>
      </c>
      <c r="Q196" s="16" t="n">
        <v>300550</v>
      </c>
      <c r="R196" s="17" t="n">
        <v>0</v>
      </c>
      <c r="S196" s="17" t="n">
        <v>0</v>
      </c>
      <c r="T196" s="17" t="n">
        <v>0</v>
      </c>
      <c r="U196" s="18" t="n">
        <v>0</v>
      </c>
    </row>
    <row r="197">
      <c r="A197" s="13" t="n">
        <v>44756</v>
      </c>
      <c r="B197" s="4">
        <f>TEXT(A197,"ddd")</f>
        <v/>
      </c>
      <c r="C197" s="14" t="n">
        <v>1733.6</v>
      </c>
      <c r="D197" s="14" t="n">
        <v>1734.8</v>
      </c>
      <c r="E197" s="14" t="n">
        <v>1695</v>
      </c>
      <c r="F197" s="14" t="n">
        <v>1705.8</v>
      </c>
      <c r="G197" s="9">
        <f>F197-F196</f>
        <v/>
      </c>
      <c r="H197" s="10">
        <f>IF(F196=0,0,G197/F196)</f>
        <v/>
      </c>
      <c r="I197" s="8">
        <f>D197-E197</f>
        <v/>
      </c>
      <c r="J197" s="4">
        <f>IF(F197&gt;C197,"Up",IF(F197&lt;C197,"Down","Flat"))</f>
        <v/>
      </c>
      <c r="K197" s="14" t="n">
        <v>28.32</v>
      </c>
      <c r="L197" s="15" t="n">
        <v>23.93</v>
      </c>
      <c r="M197" s="14" t="n">
        <v>1776.51</v>
      </c>
      <c r="N197" s="14" t="n">
        <v>1819.58</v>
      </c>
      <c r="O197" s="14" t="n"/>
      <c r="P197" s="4">
        <f>IF(O197="","",IF(F197&gt;O197,"Above","Below"))</f>
        <v/>
      </c>
      <c r="Q197" s="16" t="n">
        <v>266354</v>
      </c>
      <c r="R197" s="17" t="n">
        <v>0</v>
      </c>
      <c r="S197" s="17" t="n">
        <v>0</v>
      </c>
      <c r="T197" s="17" t="n">
        <v>0</v>
      </c>
      <c r="U197" s="18" t="n">
        <v>0</v>
      </c>
    </row>
    <row r="198">
      <c r="A198" s="13" t="n">
        <v>44757</v>
      </c>
      <c r="B198" s="4">
        <f>TEXT(A198,"ddd")</f>
        <v/>
      </c>
      <c r="C198" s="14" t="n">
        <v>1708.2</v>
      </c>
      <c r="D198" s="14" t="n">
        <v>1714.2</v>
      </c>
      <c r="E198" s="14" t="n">
        <v>1696.6</v>
      </c>
      <c r="F198" s="14" t="n">
        <v>1703.6</v>
      </c>
      <c r="G198" s="9">
        <f>F198-F197</f>
        <v/>
      </c>
      <c r="H198" s="10">
        <f>IF(F197=0,0,G198/F197)</f>
        <v/>
      </c>
      <c r="I198" s="8">
        <f>D198-E198</f>
        <v/>
      </c>
      <c r="J198" s="4">
        <f>IF(F198&gt;C198,"Up",IF(F198&lt;C198,"Down","Flat"))</f>
        <v/>
      </c>
      <c r="K198" s="14" t="n">
        <v>27.55</v>
      </c>
      <c r="L198" s="15" t="n">
        <v>23.61</v>
      </c>
      <c r="M198" s="14" t="n">
        <v>1769.56</v>
      </c>
      <c r="N198" s="14" t="n">
        <v>1815.03</v>
      </c>
      <c r="O198" s="14" t="n"/>
      <c r="P198" s="4">
        <f>IF(O198="","",IF(F198&gt;O198,"Above","Below"))</f>
        <v/>
      </c>
      <c r="Q198" s="16" t="n">
        <v>176797</v>
      </c>
      <c r="R198" s="17" t="n">
        <v>0</v>
      </c>
      <c r="S198" s="17" t="n">
        <v>0</v>
      </c>
      <c r="T198" s="17" t="n">
        <v>0</v>
      </c>
      <c r="U198" s="18" t="n">
        <v>0</v>
      </c>
    </row>
    <row r="199">
      <c r="A199" s="13" t="n">
        <v>44760</v>
      </c>
      <c r="B199" s="4">
        <f>TEXT(A199,"ddd")</f>
        <v/>
      </c>
      <c r="C199" s="14" t="n">
        <v>1706.4</v>
      </c>
      <c r="D199" s="14" t="n">
        <v>1722</v>
      </c>
      <c r="E199" s="14" t="n">
        <v>1704.4</v>
      </c>
      <c r="F199" s="14" t="n">
        <v>1710.2</v>
      </c>
      <c r="G199" s="9">
        <f>F199-F198</f>
        <v/>
      </c>
      <c r="H199" s="10">
        <f>IF(F198=0,0,G199/F198)</f>
        <v/>
      </c>
      <c r="I199" s="8">
        <f>D199-E199</f>
        <v/>
      </c>
      <c r="J199" s="4">
        <f>IF(F199&gt;C199,"Up",IF(F199&lt;C199,"Down","Flat"))</f>
        <v/>
      </c>
      <c r="K199" s="14" t="n">
        <v>26.9</v>
      </c>
      <c r="L199" s="15" t="n">
        <v>26.78</v>
      </c>
      <c r="M199" s="14" t="n">
        <v>1763.91</v>
      </c>
      <c r="N199" s="14" t="n">
        <v>1810.92</v>
      </c>
      <c r="O199" s="14" t="n"/>
      <c r="P199" s="4">
        <f>IF(O199="","",IF(F199&gt;O199,"Above","Below"))</f>
        <v/>
      </c>
      <c r="Q199" s="16" t="n">
        <v>157535</v>
      </c>
      <c r="R199" s="17" t="n">
        <v>0</v>
      </c>
      <c r="S199" s="17" t="n">
        <v>0</v>
      </c>
      <c r="T199" s="17" t="n">
        <v>0</v>
      </c>
      <c r="U199" s="18" t="n">
        <v>0</v>
      </c>
    </row>
    <row r="200">
      <c r="A200" s="13" t="n">
        <v>44761</v>
      </c>
      <c r="B200" s="4">
        <f>TEXT(A200,"ddd")</f>
        <v/>
      </c>
      <c r="C200" s="14" t="n">
        <v>1707.2</v>
      </c>
      <c r="D200" s="14" t="n">
        <v>1716.5</v>
      </c>
      <c r="E200" s="14" t="n">
        <v>1702.6</v>
      </c>
      <c r="F200" s="14" t="n">
        <v>1710.7</v>
      </c>
      <c r="G200" s="9">
        <f>F200-F199</f>
        <v/>
      </c>
      <c r="H200" s="10">
        <f>IF(F199=0,0,G200/F199)</f>
        <v/>
      </c>
      <c r="I200" s="8">
        <f>D200-E200</f>
        <v/>
      </c>
      <c r="J200" s="4">
        <f>IF(F200&gt;C200,"Up",IF(F200&lt;C200,"Down","Flat"))</f>
        <v/>
      </c>
      <c r="K200" s="14" t="n">
        <v>25.97</v>
      </c>
      <c r="L200" s="15" t="n">
        <v>27.03</v>
      </c>
      <c r="M200" s="14" t="n">
        <v>1758.84</v>
      </c>
      <c r="N200" s="14" t="n">
        <v>1806.99</v>
      </c>
      <c r="O200" s="14" t="n"/>
      <c r="P200" s="4">
        <f>IF(O200="","",IF(F200&gt;O200,"Above","Below"))</f>
        <v/>
      </c>
      <c r="Q200" s="16" t="n">
        <v>131771</v>
      </c>
      <c r="R200" s="17" t="n">
        <v>0</v>
      </c>
      <c r="S200" s="17" t="n">
        <v>0</v>
      </c>
      <c r="T200" s="17" t="n">
        <v>0</v>
      </c>
      <c r="U200" s="18" t="n">
        <v>0</v>
      </c>
    </row>
    <row r="201">
      <c r="A201" s="13" t="n">
        <v>44762</v>
      </c>
      <c r="B201" s="4">
        <f>TEXT(A201,"ddd")</f>
        <v/>
      </c>
      <c r="C201" s="14" t="n">
        <v>1709.5</v>
      </c>
      <c r="D201" s="14" t="n">
        <v>1712.7</v>
      </c>
      <c r="E201" s="14" t="n">
        <v>1690.1</v>
      </c>
      <c r="F201" s="14" t="n">
        <v>1700.2</v>
      </c>
      <c r="G201" s="9">
        <f>F201-F200</f>
        <v/>
      </c>
      <c r="H201" s="10">
        <f>IF(F200=0,0,G201/F200)</f>
        <v/>
      </c>
      <c r="I201" s="8">
        <f>D201-E201</f>
        <v/>
      </c>
      <c r="J201" s="4">
        <f>IF(F201&gt;C201,"Up",IF(F201&lt;C201,"Down","Flat"))</f>
        <v/>
      </c>
      <c r="K201" s="14" t="n">
        <v>25.73</v>
      </c>
      <c r="L201" s="15" t="n">
        <v>25.11</v>
      </c>
      <c r="M201" s="14" t="n">
        <v>1753.26</v>
      </c>
      <c r="N201" s="14" t="n">
        <v>1802.8</v>
      </c>
      <c r="O201" s="14" t="n">
        <v>1833.39</v>
      </c>
      <c r="P201" s="4">
        <f>IF(O201="","",IF(F201&gt;O201,"Above","Below"))</f>
        <v/>
      </c>
      <c r="Q201" s="16" t="n">
        <v>174466</v>
      </c>
      <c r="R201" s="17" t="n">
        <v>0</v>
      </c>
      <c r="S201" s="17" t="n">
        <v>0</v>
      </c>
      <c r="T201" s="17" t="n">
        <v>0</v>
      </c>
      <c r="U201" s="18" t="n">
        <v>0</v>
      </c>
    </row>
    <row r="202">
      <c r="A202" s="13" t="n">
        <v>44763</v>
      </c>
      <c r="B202" s="4">
        <f>TEXT(A202,"ddd")</f>
        <v/>
      </c>
      <c r="C202" s="14" t="n">
        <v>1693.7</v>
      </c>
      <c r="D202" s="14" t="n">
        <v>1719.5</v>
      </c>
      <c r="E202" s="14" t="n">
        <v>1678.4</v>
      </c>
      <c r="F202" s="14" t="n">
        <v>1713.4</v>
      </c>
      <c r="G202" s="9">
        <f>F202-F201</f>
        <v/>
      </c>
      <c r="H202" s="10">
        <f>IF(F201=0,0,G202/F201)</f>
        <v/>
      </c>
      <c r="I202" s="8">
        <f>D202-E202</f>
        <v/>
      </c>
      <c r="J202" s="4">
        <f>IF(F202&gt;C202,"Up",IF(F202&lt;C202,"Down","Flat"))</f>
        <v/>
      </c>
      <c r="K202" s="14" t="n">
        <v>26.83</v>
      </c>
      <c r="L202" s="15" t="n">
        <v>31.67</v>
      </c>
      <c r="M202" s="14" t="n">
        <v>1749.46</v>
      </c>
      <c r="N202" s="14" t="n">
        <v>1799.3</v>
      </c>
      <c r="O202" s="14" t="n">
        <v>1832.19</v>
      </c>
      <c r="P202" s="4">
        <f>IF(O202="","",IF(F202&gt;O202,"Above","Below"))</f>
        <v/>
      </c>
      <c r="Q202" s="16" t="n">
        <v>248875</v>
      </c>
      <c r="R202" s="17" t="n">
        <v>0</v>
      </c>
      <c r="S202" s="17" t="n">
        <v>0</v>
      </c>
      <c r="T202" s="17" t="n">
        <v>0</v>
      </c>
      <c r="U202" s="18" t="n">
        <v>0</v>
      </c>
    </row>
    <row r="203">
      <c r="A203" s="13" t="n">
        <v>44764</v>
      </c>
      <c r="B203" s="4">
        <f>TEXT(A203,"ddd")</f>
        <v/>
      </c>
      <c r="C203" s="14" t="n">
        <v>1717.2</v>
      </c>
      <c r="D203" s="14" t="n">
        <v>1738.3</v>
      </c>
      <c r="E203" s="14" t="n">
        <v>1711.7</v>
      </c>
      <c r="F203" s="14" t="n">
        <v>1727.4</v>
      </c>
      <c r="G203" s="9">
        <f>F203-F202</f>
        <v/>
      </c>
      <c r="H203" s="10">
        <f>IF(F202=0,0,G203/F202)</f>
        <v/>
      </c>
      <c r="I203" s="8">
        <f>D203-E203</f>
        <v/>
      </c>
      <c r="J203" s="4">
        <f>IF(F203&gt;C203,"Up",IF(F203&lt;C203,"Down","Flat"))</f>
        <v/>
      </c>
      <c r="K203" s="14" t="n">
        <v>26.81</v>
      </c>
      <c r="L203" s="15" t="n">
        <v>37.89</v>
      </c>
      <c r="M203" s="14" t="n">
        <v>1747.36</v>
      </c>
      <c r="N203" s="14" t="n">
        <v>1796.48</v>
      </c>
      <c r="O203" s="14" t="n">
        <v>1831.15</v>
      </c>
      <c r="P203" s="4">
        <f>IF(O203="","",IF(F203&gt;O203,"Above","Below"))</f>
        <v/>
      </c>
      <c r="Q203" s="16" t="n">
        <v>200622</v>
      </c>
      <c r="R203" s="17" t="n">
        <v>0</v>
      </c>
      <c r="S203" s="17" t="n">
        <v>0</v>
      </c>
      <c r="T203" s="17" t="n">
        <v>0</v>
      </c>
      <c r="U203" s="18" t="n">
        <v>0</v>
      </c>
    </row>
    <row r="204">
      <c r="A204" s="13" t="n">
        <v>44767</v>
      </c>
      <c r="B204" s="4">
        <f>TEXT(A204,"ddd")</f>
        <v/>
      </c>
      <c r="C204" s="14" t="n">
        <v>1726.3</v>
      </c>
      <c r="D204" s="14" t="n">
        <v>1734.6</v>
      </c>
      <c r="E204" s="14" t="n">
        <v>1712.9</v>
      </c>
      <c r="F204" s="14" t="n">
        <v>1719.1</v>
      </c>
      <c r="G204" s="9">
        <f>F204-F203</f>
        <v/>
      </c>
      <c r="H204" s="10">
        <f>IF(F203=0,0,G204/F203)</f>
        <v/>
      </c>
      <c r="I204" s="8">
        <f>D204-E204</f>
        <v/>
      </c>
      <c r="J204" s="4">
        <f>IF(F204&gt;C204,"Up",IF(F204&lt;C204,"Down","Flat"))</f>
        <v/>
      </c>
      <c r="K204" s="14" t="n">
        <v>26.45</v>
      </c>
      <c r="L204" s="15" t="n">
        <v>35.81</v>
      </c>
      <c r="M204" s="14" t="n">
        <v>1744.67</v>
      </c>
      <c r="N204" s="14" t="n">
        <v>1793.44</v>
      </c>
      <c r="O204" s="14" t="n">
        <v>1830.04</v>
      </c>
      <c r="P204" s="4">
        <f>IF(O204="","",IF(F204&gt;O204,"Above","Below"))</f>
        <v/>
      </c>
      <c r="Q204" s="16" t="n">
        <v>160719</v>
      </c>
      <c r="R204" s="17" t="n">
        <v>0</v>
      </c>
      <c r="S204" s="17" t="n">
        <v>0</v>
      </c>
      <c r="T204" s="17" t="n">
        <v>0</v>
      </c>
      <c r="U204" s="18" t="n">
        <v>0</v>
      </c>
    </row>
    <row r="205">
      <c r="A205" s="13" t="n">
        <v>44768</v>
      </c>
      <c r="B205" s="4">
        <f>TEXT(A205,"ddd")</f>
        <v/>
      </c>
      <c r="C205" s="14" t="n">
        <v>1717.9</v>
      </c>
      <c r="D205" s="14" t="n">
        <v>1726.4</v>
      </c>
      <c r="E205" s="14" t="n">
        <v>1711.5</v>
      </c>
      <c r="F205" s="14" t="n">
        <v>1717.7</v>
      </c>
      <c r="G205" s="9">
        <f>F205-F204</f>
        <v/>
      </c>
      <c r="H205" s="10">
        <f>IF(F204=0,0,G205/F204)</f>
        <v/>
      </c>
      <c r="I205" s="8">
        <f>D205-E205</f>
        <v/>
      </c>
      <c r="J205" s="4">
        <f>IF(F205&gt;C205,"Up",IF(F205&lt;C205,"Down","Flat"))</f>
        <v/>
      </c>
      <c r="K205" s="14" t="n">
        <v>25.62</v>
      </c>
      <c r="L205" s="15" t="n">
        <v>35.45</v>
      </c>
      <c r="M205" s="14" t="n">
        <v>1742.1</v>
      </c>
      <c r="N205" s="14" t="n">
        <v>1790.47</v>
      </c>
      <c r="O205" s="14" t="n">
        <v>1828.92</v>
      </c>
      <c r="P205" s="4">
        <f>IF(O205="","",IF(F205&gt;O205,"Above","Below"))</f>
        <v/>
      </c>
      <c r="Q205" s="16" t="n">
        <v>147367</v>
      </c>
      <c r="R205" s="17" t="n">
        <v>0</v>
      </c>
      <c r="S205" s="17" t="n">
        <v>0</v>
      </c>
      <c r="T205" s="17" t="n">
        <v>0</v>
      </c>
      <c r="U205" s="18" t="n">
        <v>0</v>
      </c>
    </row>
    <row r="206">
      <c r="A206" s="13" t="n">
        <v>44769</v>
      </c>
      <c r="B206" s="4">
        <f>TEXT(A206,"ddd")</f>
        <v/>
      </c>
      <c r="C206" s="14" t="n">
        <v>1715.2</v>
      </c>
      <c r="D206" s="14" t="n">
        <v>1739.6</v>
      </c>
      <c r="E206" s="14" t="n">
        <v>1709.1</v>
      </c>
      <c r="F206" s="14" t="n">
        <v>1719.1</v>
      </c>
      <c r="G206" s="9">
        <f>F206-F205</f>
        <v/>
      </c>
      <c r="H206" s="10">
        <f>IF(F205=0,0,G206/F205)</f>
        <v/>
      </c>
      <c r="I206" s="8">
        <f>D206-E206</f>
        <v/>
      </c>
      <c r="J206" s="4">
        <f>IF(F206&gt;C206,"Up",IF(F206&lt;C206,"Down","Flat"))</f>
        <v/>
      </c>
      <c r="K206" s="14" t="n">
        <v>25.97</v>
      </c>
      <c r="L206" s="15" t="n">
        <v>36.13</v>
      </c>
      <c r="M206" s="14" t="n">
        <v>1739.91</v>
      </c>
      <c r="N206" s="14" t="n">
        <v>1787.67</v>
      </c>
      <c r="O206" s="14" t="n">
        <v>1827.83</v>
      </c>
      <c r="P206" s="4">
        <f>IF(O206="","",IF(F206&gt;O206,"Above","Below"))</f>
        <v/>
      </c>
      <c r="Q206" s="16" t="n">
        <v>144865</v>
      </c>
      <c r="R206" s="17" t="n">
        <v>0</v>
      </c>
      <c r="S206" s="17" t="n">
        <v>0</v>
      </c>
      <c r="T206" s="17" t="n">
        <v>0</v>
      </c>
      <c r="U206" s="18" t="n">
        <v>0</v>
      </c>
    </row>
    <row r="207">
      <c r="A207" s="13" t="n">
        <v>44770</v>
      </c>
      <c r="B207" s="4">
        <f>TEXT(A207,"ddd")</f>
        <v/>
      </c>
      <c r="C207" s="14" t="n">
        <v>1732.3</v>
      </c>
      <c r="D207" s="14" t="n">
        <v>1755</v>
      </c>
      <c r="E207" s="14" t="n">
        <v>1732</v>
      </c>
      <c r="F207" s="14" t="n">
        <v>1750.3</v>
      </c>
      <c r="G207" s="9">
        <f>F207-F206</f>
        <v/>
      </c>
      <c r="H207" s="10">
        <f>IF(F206=0,0,G207/F206)</f>
        <v/>
      </c>
      <c r="I207" s="8">
        <f>D207-E207</f>
        <v/>
      </c>
      <c r="J207" s="4">
        <f>IF(F207&gt;C207,"Up",IF(F207&lt;C207,"Down","Flat"))</f>
        <v/>
      </c>
      <c r="K207" s="14" t="n">
        <v>26.68</v>
      </c>
      <c r="L207" s="15" t="n">
        <v>49.01</v>
      </c>
      <c r="M207" s="14" t="n">
        <v>1740.9</v>
      </c>
      <c r="N207" s="14" t="n">
        <v>1786.21</v>
      </c>
      <c r="O207" s="14" t="n">
        <v>1827.05</v>
      </c>
      <c r="P207" s="4">
        <f>IF(O207="","",IF(F207&gt;O207,"Above","Below"))</f>
        <v/>
      </c>
      <c r="Q207" s="16" t="n">
        <v>37236</v>
      </c>
      <c r="R207" s="17" t="n">
        <v>0</v>
      </c>
      <c r="S207" s="17" t="n">
        <v>0</v>
      </c>
      <c r="T207" s="17" t="n">
        <v>0</v>
      </c>
      <c r="U207" s="18" t="n">
        <v>0</v>
      </c>
    </row>
    <row r="208">
      <c r="A208" s="13" t="n">
        <v>44771</v>
      </c>
      <c r="B208" s="4">
        <f>TEXT(A208,"ddd")</f>
        <v/>
      </c>
      <c r="C208" s="14" t="n">
        <v>1754</v>
      </c>
      <c r="D208" s="14" t="n">
        <v>1765.7</v>
      </c>
      <c r="E208" s="14" t="n">
        <v>1750</v>
      </c>
      <c r="F208" s="14" t="n">
        <v>1762.9</v>
      </c>
      <c r="G208" s="9">
        <f>F208-F207</f>
        <v/>
      </c>
      <c r="H208" s="10">
        <f>IF(F207=0,0,G208/F207)</f>
        <v/>
      </c>
      <c r="I208" s="8">
        <f>D208-E208</f>
        <v/>
      </c>
      <c r="J208" s="4">
        <f>IF(F208&gt;C208,"Up",IF(F208&lt;C208,"Down","Flat"))</f>
        <v/>
      </c>
      <c r="K208" s="14" t="n">
        <v>25.9</v>
      </c>
      <c r="L208" s="15" t="n">
        <v>53.12</v>
      </c>
      <c r="M208" s="14" t="n">
        <v>1742.99</v>
      </c>
      <c r="N208" s="14" t="n">
        <v>1785.29</v>
      </c>
      <c r="O208" s="14" t="n">
        <v>1826.42</v>
      </c>
      <c r="P208" s="4">
        <f>IF(O208="","",IF(F208&gt;O208,"Above","Below"))</f>
        <v/>
      </c>
      <c r="Q208" s="16" t="n">
        <v>140666</v>
      </c>
      <c r="R208" s="17" t="n">
        <v>0</v>
      </c>
      <c r="S208" s="17" t="n">
        <v>0</v>
      </c>
      <c r="T208" s="17" t="n">
        <v>0</v>
      </c>
      <c r="U208" s="18" t="n">
        <v>0</v>
      </c>
    </row>
    <row r="209">
      <c r="A209" s="13" t="n">
        <v>44774</v>
      </c>
      <c r="B209" s="4">
        <f>TEXT(A209,"ddd")</f>
        <v/>
      </c>
      <c r="C209" s="14" t="n">
        <v>1782.5</v>
      </c>
      <c r="D209" s="14" t="n">
        <v>1792.5</v>
      </c>
      <c r="E209" s="14" t="n">
        <v>1774.3</v>
      </c>
      <c r="F209" s="14" t="n">
        <v>1787.7</v>
      </c>
      <c r="G209" s="9">
        <f>F209-F208</f>
        <v/>
      </c>
      <c r="H209" s="10">
        <f>IF(F208=0,0,G209/F208)</f>
        <v/>
      </c>
      <c r="I209" s="8">
        <f>D209-E209</f>
        <v/>
      </c>
      <c r="J209" s="4">
        <f>IF(F209&gt;C209,"Up",IF(F209&lt;C209,"Down","Flat"))</f>
        <v/>
      </c>
      <c r="K209" s="14" t="n">
        <v>26.16</v>
      </c>
      <c r="L209" s="15" t="n">
        <v>59.96</v>
      </c>
      <c r="M209" s="14" t="n">
        <v>1747.25</v>
      </c>
      <c r="N209" s="14" t="n">
        <v>1785.39</v>
      </c>
      <c r="O209" s="14" t="n">
        <v>1826.03</v>
      </c>
      <c r="P209" s="4">
        <f>IF(O209="","",IF(F209&gt;O209,"Above","Below"))</f>
        <v/>
      </c>
      <c r="Q209" s="16" t="n">
        <v>133742</v>
      </c>
      <c r="R209" s="17" t="n">
        <v>0</v>
      </c>
      <c r="S209" s="17" t="n">
        <v>0</v>
      </c>
      <c r="T209" s="17" t="n">
        <v>0</v>
      </c>
      <c r="U209" s="18" t="n">
        <v>0</v>
      </c>
    </row>
    <row r="210">
      <c r="A210" s="13" t="n">
        <v>44775</v>
      </c>
      <c r="B210" s="4">
        <f>TEXT(A210,"ddd")</f>
        <v/>
      </c>
      <c r="C210" s="14" t="n">
        <v>1789.2</v>
      </c>
      <c r="D210" s="14" t="n">
        <v>1805</v>
      </c>
      <c r="E210" s="14" t="n">
        <v>1776</v>
      </c>
      <c r="F210" s="14" t="n">
        <v>1789.7</v>
      </c>
      <c r="G210" s="9">
        <f>F210-F209</f>
        <v/>
      </c>
      <c r="H210" s="10">
        <f>IF(F209=0,0,G210/F209)</f>
        <v/>
      </c>
      <c r="I210" s="8">
        <f>D210-E210</f>
        <v/>
      </c>
      <c r="J210" s="4">
        <f>IF(F210&gt;C210,"Up",IF(F210&lt;C210,"Down","Flat"))</f>
        <v/>
      </c>
      <c r="K210" s="14" t="n">
        <v>26.36</v>
      </c>
      <c r="L210" s="15" t="n">
        <v>60.46</v>
      </c>
      <c r="M210" s="14" t="n">
        <v>1751.29</v>
      </c>
      <c r="N210" s="14" t="n">
        <v>1785.56</v>
      </c>
      <c r="O210" s="14" t="n">
        <v>1825.67</v>
      </c>
      <c r="P210" s="4">
        <f>IF(O210="","",IF(F210&gt;O210,"Above","Below"))</f>
        <v/>
      </c>
      <c r="Q210" s="16" t="n">
        <v>174165</v>
      </c>
      <c r="R210" s="17" t="n">
        <v>0</v>
      </c>
      <c r="S210" s="17" t="n">
        <v>0</v>
      </c>
      <c r="T210" s="17" t="n">
        <v>0</v>
      </c>
      <c r="U210" s="18" t="n">
        <v>0</v>
      </c>
    </row>
    <row r="211">
      <c r="A211" s="13" t="n">
        <v>44776</v>
      </c>
      <c r="B211" s="4">
        <f>TEXT(A211,"ddd")</f>
        <v/>
      </c>
      <c r="C211" s="14" t="n">
        <v>1777.3</v>
      </c>
      <c r="D211" s="14" t="n">
        <v>1789.4</v>
      </c>
      <c r="E211" s="14" t="n">
        <v>1770</v>
      </c>
      <c r="F211" s="14" t="n">
        <v>1776.4</v>
      </c>
      <c r="G211" s="9">
        <f>F211-F210</f>
        <v/>
      </c>
      <c r="H211" s="10">
        <f>IF(F210=0,0,G211/F210)</f>
        <v/>
      </c>
      <c r="I211" s="8">
        <f>D211-E211</f>
        <v/>
      </c>
      <c r="J211" s="4">
        <f>IF(F211&gt;C211,"Up",IF(F211&lt;C211,"Down","Flat"))</f>
        <v/>
      </c>
      <c r="K211" s="14" t="n">
        <v>25.89</v>
      </c>
      <c r="L211" s="15" t="n">
        <v>55.49</v>
      </c>
      <c r="M211" s="14" t="n">
        <v>1753.69</v>
      </c>
      <c r="N211" s="14" t="n">
        <v>1785.2</v>
      </c>
      <c r="O211" s="14" t="n">
        <v>1825.18</v>
      </c>
      <c r="P211" s="4">
        <f>IF(O211="","",IF(F211&gt;O211,"Above","Below"))</f>
        <v/>
      </c>
      <c r="Q211" s="16" t="n">
        <v>151734</v>
      </c>
      <c r="R211" s="17" t="n">
        <v>0</v>
      </c>
      <c r="S211" s="17" t="n">
        <v>0</v>
      </c>
      <c r="T211" s="17" t="n">
        <v>0</v>
      </c>
      <c r="U211" s="18" t="n">
        <v>0</v>
      </c>
    </row>
    <row r="212">
      <c r="A212" s="13" t="n">
        <v>44777</v>
      </c>
      <c r="B212" s="4">
        <f>TEXT(A212,"ddd")</f>
        <v/>
      </c>
      <c r="C212" s="14" t="n">
        <v>1782.1</v>
      </c>
      <c r="D212" s="14" t="n">
        <v>1812</v>
      </c>
      <c r="E212" s="14" t="n">
        <v>1779.4</v>
      </c>
      <c r="F212" s="14" t="n">
        <v>1806.9</v>
      </c>
      <c r="G212" s="9">
        <f>F212-F211</f>
        <v/>
      </c>
      <c r="H212" s="10">
        <f>IF(F211=0,0,G212/F211)</f>
        <v/>
      </c>
      <c r="I212" s="8">
        <f>D212-E212</f>
        <v/>
      </c>
      <c r="J212" s="4">
        <f>IF(F212&gt;C212,"Up",IF(F212&lt;C212,"Down","Flat"))</f>
        <v/>
      </c>
      <c r="K212" s="14" t="n">
        <v>26.58</v>
      </c>
      <c r="L212" s="15" t="n">
        <v>63</v>
      </c>
      <c r="M212" s="14" t="n">
        <v>1758.75</v>
      </c>
      <c r="N212" s="14" t="n">
        <v>1786.05</v>
      </c>
      <c r="O212" s="14" t="n">
        <v>1825</v>
      </c>
      <c r="P212" s="4">
        <f>IF(O212="","",IF(F212&gt;O212,"Above","Below"))</f>
        <v/>
      </c>
      <c r="Q212" s="16" t="n">
        <v>153292</v>
      </c>
      <c r="R212" s="17" t="n">
        <v>0</v>
      </c>
      <c r="S212" s="17" t="n">
        <v>0</v>
      </c>
      <c r="T212" s="17" t="n">
        <v>0</v>
      </c>
      <c r="U212" s="18" t="n">
        <v>0</v>
      </c>
    </row>
    <row r="213">
      <c r="A213" s="13" t="n">
        <v>44778</v>
      </c>
      <c r="B213" s="4">
        <f>TEXT(A213,"ddd")</f>
        <v/>
      </c>
      <c r="C213" s="14" t="n">
        <v>1807.7</v>
      </c>
      <c r="D213" s="14" t="n">
        <v>1811.6</v>
      </c>
      <c r="E213" s="14" t="n">
        <v>1780.2</v>
      </c>
      <c r="F213" s="14" t="n">
        <v>1791.2</v>
      </c>
      <c r="G213" s="9">
        <f>F213-F212</f>
        <v/>
      </c>
      <c r="H213" s="10">
        <f>IF(F212=0,0,G213/F212)</f>
        <v/>
      </c>
      <c r="I213" s="8">
        <f>D213-E213</f>
        <v/>
      </c>
      <c r="J213" s="4">
        <f>IF(F213&gt;C213,"Up",IF(F213&lt;C213,"Down","Flat"))</f>
        <v/>
      </c>
      <c r="K213" s="14" t="n">
        <v>26.93</v>
      </c>
      <c r="L213" s="15" t="n">
        <v>57.61</v>
      </c>
      <c r="M213" s="14" t="n">
        <v>1761.84</v>
      </c>
      <c r="N213" s="14" t="n">
        <v>1786.25</v>
      </c>
      <c r="O213" s="14" t="n">
        <v>1824.66</v>
      </c>
      <c r="P213" s="4">
        <f>IF(O213="","",IF(F213&gt;O213,"Above","Below"))</f>
        <v/>
      </c>
      <c r="Q213" s="16" t="n">
        <v>168901</v>
      </c>
      <c r="R213" s="17" t="n">
        <v>0</v>
      </c>
      <c r="S213" s="17" t="n">
        <v>0</v>
      </c>
      <c r="T213" s="17" t="n">
        <v>0</v>
      </c>
      <c r="U213" s="18" t="n">
        <v>0</v>
      </c>
    </row>
    <row r="214">
      <c r="A214" s="13" t="n">
        <v>44781</v>
      </c>
      <c r="B214" s="4">
        <f>TEXT(A214,"ddd")</f>
        <v/>
      </c>
      <c r="C214" s="14" t="n">
        <v>1790.3</v>
      </c>
      <c r="D214" s="14" t="n">
        <v>1806.4</v>
      </c>
      <c r="E214" s="14" t="n">
        <v>1786.9</v>
      </c>
      <c r="F214" s="14" t="n">
        <v>1805.2</v>
      </c>
      <c r="G214" s="9">
        <f>F214-F213</f>
        <v/>
      </c>
      <c r="H214" s="10">
        <f>IF(F213=0,0,G214/F213)</f>
        <v/>
      </c>
      <c r="I214" s="8">
        <f>D214-E214</f>
        <v/>
      </c>
      <c r="J214" s="4">
        <f>IF(F214&gt;C214,"Up",IF(F214&lt;C214,"Down","Flat"))</f>
        <v/>
      </c>
      <c r="K214" s="14" t="n">
        <v>26.4</v>
      </c>
      <c r="L214" s="15" t="n">
        <v>60.83</v>
      </c>
      <c r="M214" s="14" t="n">
        <v>1765.97</v>
      </c>
      <c r="N214" s="14" t="n">
        <v>1786.99</v>
      </c>
      <c r="O214" s="14" t="n">
        <v>1824.47</v>
      </c>
      <c r="P214" s="4">
        <f>IF(O214="","",IF(F214&gt;O214,"Above","Below"))</f>
        <v/>
      </c>
      <c r="Q214" s="16" t="n">
        <v>103683</v>
      </c>
      <c r="R214" s="17" t="n">
        <v>0</v>
      </c>
      <c r="S214" s="17" t="n">
        <v>0</v>
      </c>
      <c r="T214" s="17" t="n">
        <v>0</v>
      </c>
      <c r="U214" s="18" t="n">
        <v>0</v>
      </c>
    </row>
    <row r="215">
      <c r="A215" s="13" t="n">
        <v>44782</v>
      </c>
      <c r="B215" s="4">
        <f>TEXT(A215,"ddd")</f>
        <v/>
      </c>
      <c r="C215" s="14" t="n">
        <v>1805.5</v>
      </c>
      <c r="D215" s="14" t="n">
        <v>1817</v>
      </c>
      <c r="E215" s="14" t="n">
        <v>1799.4</v>
      </c>
      <c r="F215" s="14" t="n">
        <v>1812.3</v>
      </c>
      <c r="G215" s="9">
        <f>F215-F214</f>
        <v/>
      </c>
      <c r="H215" s="10">
        <f>IF(F214=0,0,G215/F214)</f>
        <v/>
      </c>
      <c r="I215" s="8">
        <f>D215-E215</f>
        <v/>
      </c>
      <c r="J215" s="4">
        <f>IF(F215&gt;C215,"Up",IF(F215&lt;C215,"Down","Flat"))</f>
        <v/>
      </c>
      <c r="K215" s="14" t="n">
        <v>25.77</v>
      </c>
      <c r="L215" s="15" t="n">
        <v>62.39</v>
      </c>
      <c r="M215" s="14" t="n">
        <v>1770.39</v>
      </c>
      <c r="N215" s="14" t="n">
        <v>1787.99</v>
      </c>
      <c r="O215" s="14" t="n">
        <v>1824.35</v>
      </c>
      <c r="P215" s="4">
        <f>IF(O215="","",IF(F215&gt;O215,"Above","Below"))</f>
        <v/>
      </c>
      <c r="Q215" s="16" t="n">
        <v>120510</v>
      </c>
      <c r="R215" s="17" t="n">
        <v>0</v>
      </c>
      <c r="S215" s="17" t="n">
        <v>0</v>
      </c>
      <c r="T215" s="17" t="n">
        <v>0</v>
      </c>
      <c r="U215" s="18" t="n">
        <v>0</v>
      </c>
    </row>
    <row r="216">
      <c r="A216" s="13" t="n">
        <v>44783</v>
      </c>
      <c r="B216" s="4">
        <f>TEXT(A216,"ddd")</f>
        <v/>
      </c>
      <c r="C216" s="14" t="n">
        <v>1811.5</v>
      </c>
      <c r="D216" s="14" t="n">
        <v>1824.6</v>
      </c>
      <c r="E216" s="14" t="n">
        <v>1803.3</v>
      </c>
      <c r="F216" s="14" t="n">
        <v>1813.7</v>
      </c>
      <c r="G216" s="9">
        <f>F216-F215</f>
        <v/>
      </c>
      <c r="H216" s="10">
        <f>IF(F215=0,0,G216/F215)</f>
        <v/>
      </c>
      <c r="I216" s="8">
        <f>D216-E216</f>
        <v/>
      </c>
      <c r="J216" s="4">
        <f>IF(F216&gt;C216,"Up",IF(F216&lt;C216,"Down","Flat"))</f>
        <v/>
      </c>
      <c r="K216" s="14" t="n">
        <v>25.45</v>
      </c>
      <c r="L216" s="15" t="n">
        <v>62.71</v>
      </c>
      <c r="M216" s="14" t="n">
        <v>1774.51</v>
      </c>
      <c r="N216" s="14" t="n">
        <v>1788.99</v>
      </c>
      <c r="O216" s="14" t="n">
        <v>1824.24</v>
      </c>
      <c r="P216" s="4">
        <f>IF(O216="","",IF(F216&gt;O216,"Above","Below"))</f>
        <v/>
      </c>
      <c r="Q216" s="16" t="n">
        <v>154592</v>
      </c>
      <c r="R216" s="17" t="n">
        <v>0</v>
      </c>
      <c r="S216" s="17" t="n">
        <v>0</v>
      </c>
      <c r="T216" s="17" t="n">
        <v>0</v>
      </c>
      <c r="U216" s="18" t="n">
        <v>0</v>
      </c>
    </row>
    <row r="217">
      <c r="A217" s="13" t="n">
        <v>44784</v>
      </c>
      <c r="B217" s="4">
        <f>TEXT(A217,"ddd")</f>
        <v/>
      </c>
      <c r="C217" s="14" t="n">
        <v>1807.9</v>
      </c>
      <c r="D217" s="14" t="n">
        <v>1814.9</v>
      </c>
      <c r="E217" s="14" t="n">
        <v>1798.6</v>
      </c>
      <c r="F217" s="14" t="n">
        <v>1807.2</v>
      </c>
      <c r="G217" s="9">
        <f>F217-F216</f>
        <v/>
      </c>
      <c r="H217" s="10">
        <f>IF(F216=0,0,G217/F216)</f>
        <v/>
      </c>
      <c r="I217" s="8">
        <f>D217-E217</f>
        <v/>
      </c>
      <c r="J217" s="4">
        <f>IF(F217&gt;C217,"Up",IF(F217&lt;C217,"Down","Flat"))</f>
        <v/>
      </c>
      <c r="K217" s="14" t="n">
        <v>24.79</v>
      </c>
      <c r="L217" s="15" t="n">
        <v>60.18</v>
      </c>
      <c r="M217" s="14" t="n">
        <v>1777.62</v>
      </c>
      <c r="N217" s="14" t="n">
        <v>1789.71</v>
      </c>
      <c r="O217" s="14" t="n">
        <v>1824.07</v>
      </c>
      <c r="P217" s="4">
        <f>IF(O217="","",IF(F217&gt;O217,"Above","Below"))</f>
        <v/>
      </c>
      <c r="Q217" s="16" t="n">
        <v>121259</v>
      </c>
      <c r="R217" s="17" t="n">
        <v>0</v>
      </c>
      <c r="S217" s="17" t="n">
        <v>0</v>
      </c>
      <c r="T217" s="17" t="n">
        <v>0</v>
      </c>
      <c r="U217" s="18" t="n">
        <v>0</v>
      </c>
    </row>
    <row r="218">
      <c r="A218" s="13" t="n">
        <v>44785</v>
      </c>
      <c r="B218" s="4">
        <f>TEXT(A218,"ddd")</f>
        <v/>
      </c>
      <c r="C218" s="14" t="n">
        <v>1805.2</v>
      </c>
      <c r="D218" s="14" t="n">
        <v>1819.1</v>
      </c>
      <c r="E218" s="14" t="n">
        <v>1799.6</v>
      </c>
      <c r="F218" s="14" t="n">
        <v>1815.5</v>
      </c>
      <c r="G218" s="9">
        <f>F218-F217</f>
        <v/>
      </c>
      <c r="H218" s="10">
        <f>IF(F217=0,0,G218/F217)</f>
        <v/>
      </c>
      <c r="I218" s="8">
        <f>D218-E218</f>
        <v/>
      </c>
      <c r="J218" s="4">
        <f>IF(F218&gt;C218,"Up",IF(F218&lt;C218,"Down","Flat"))</f>
        <v/>
      </c>
      <c r="K218" s="14" t="n">
        <v>24.42</v>
      </c>
      <c r="L218" s="15" t="n">
        <v>62.27</v>
      </c>
      <c r="M218" s="14" t="n">
        <v>1781.23</v>
      </c>
      <c r="N218" s="14" t="n">
        <v>1790.72</v>
      </c>
      <c r="O218" s="14" t="n">
        <v>1823.99</v>
      </c>
      <c r="P218" s="4">
        <f>IF(O218="","",IF(F218&gt;O218,"Above","Below"))</f>
        <v/>
      </c>
      <c r="Q218" s="16" t="n">
        <v>118649</v>
      </c>
      <c r="R218" s="17" t="n">
        <v>0</v>
      </c>
      <c r="S218" s="17" t="n">
        <v>0</v>
      </c>
      <c r="T218" s="17" t="n">
        <v>0</v>
      </c>
      <c r="U218" s="18" t="n">
        <v>0</v>
      </c>
    </row>
    <row r="219">
      <c r="A219" s="13" t="n">
        <v>44788</v>
      </c>
      <c r="B219" s="4">
        <f>TEXT(A219,"ddd")</f>
        <v/>
      </c>
      <c r="C219" s="14" t="n">
        <v>1818.9</v>
      </c>
      <c r="D219" s="14" t="n">
        <v>1818.9</v>
      </c>
      <c r="E219" s="14" t="n">
        <v>1787.6</v>
      </c>
      <c r="F219" s="14" t="n">
        <v>1798.1</v>
      </c>
      <c r="G219" s="9">
        <f>F219-F218</f>
        <v/>
      </c>
      <c r="H219" s="10">
        <f>IF(F218=0,0,G219/F218)</f>
        <v/>
      </c>
      <c r="I219" s="8">
        <f>D219-E219</f>
        <v/>
      </c>
      <c r="J219" s="4">
        <f>IF(F219&gt;C219,"Up",IF(F219&lt;C219,"Down","Flat"))</f>
        <v/>
      </c>
      <c r="K219" s="14" t="n">
        <v>24.91</v>
      </c>
      <c r="L219" s="15" t="n">
        <v>55.68</v>
      </c>
      <c r="M219" s="14" t="n">
        <v>1782.84</v>
      </c>
      <c r="N219" s="14" t="n">
        <v>1791.01</v>
      </c>
      <c r="O219" s="14" t="n">
        <v>1823.73</v>
      </c>
      <c r="P219" s="4">
        <f>IF(O219="","",IF(F219&gt;O219,"Above","Below"))</f>
        <v/>
      </c>
      <c r="Q219" s="16" t="n">
        <v>137765</v>
      </c>
      <c r="R219" s="17" t="n">
        <v>0</v>
      </c>
      <c r="S219" s="17" t="n">
        <v>0</v>
      </c>
      <c r="T219" s="17" t="n">
        <v>0</v>
      </c>
      <c r="U219" s="18" t="n">
        <v>0</v>
      </c>
    </row>
    <row r="220">
      <c r="A220" s="13" t="n">
        <v>44789</v>
      </c>
      <c r="B220" s="4">
        <f>TEXT(A220,"ddd")</f>
        <v/>
      </c>
      <c r="C220" s="14" t="n">
        <v>1795.5</v>
      </c>
      <c r="D220" s="14" t="n">
        <v>1798</v>
      </c>
      <c r="E220" s="14" t="n">
        <v>1785.4</v>
      </c>
      <c r="F220" s="14" t="n">
        <v>1789.7</v>
      </c>
      <c r="G220" s="9">
        <f>F220-F219</f>
        <v/>
      </c>
      <c r="H220" s="10">
        <f>IF(F219=0,0,G220/F219)</f>
        <v/>
      </c>
      <c r="I220" s="8">
        <f>D220-E220</f>
        <v/>
      </c>
      <c r="J220" s="4">
        <f>IF(F220&gt;C220,"Up",IF(F220&lt;C220,"Down","Flat"))</f>
        <v/>
      </c>
      <c r="K220" s="14" t="n">
        <v>24.04</v>
      </c>
      <c r="L220" s="15" t="n">
        <v>52.77</v>
      </c>
      <c r="M220" s="14" t="n">
        <v>1783.49</v>
      </c>
      <c r="N220" s="14" t="n">
        <v>1790.96</v>
      </c>
      <c r="O220" s="14" t="n">
        <v>1823.39</v>
      </c>
      <c r="P220" s="4">
        <f>IF(O220="","",IF(F220&gt;O220,"Above","Below"))</f>
        <v/>
      </c>
      <c r="Q220" s="16" t="n">
        <v>94403</v>
      </c>
      <c r="R220" s="17" t="n">
        <v>0</v>
      </c>
      <c r="S220" s="17" t="n">
        <v>0</v>
      </c>
      <c r="T220" s="17" t="n">
        <v>0</v>
      </c>
      <c r="U220" s="18" t="n">
        <v>0</v>
      </c>
    </row>
    <row r="221">
      <c r="A221" s="13" t="n">
        <v>44790</v>
      </c>
      <c r="B221" s="4">
        <f>TEXT(A221,"ddd")</f>
        <v/>
      </c>
      <c r="C221" s="14" t="n">
        <v>1790.8</v>
      </c>
      <c r="D221" s="14" t="n">
        <v>1796.6</v>
      </c>
      <c r="E221" s="14" t="n">
        <v>1773.9</v>
      </c>
      <c r="F221" s="14" t="n">
        <v>1776.7</v>
      </c>
      <c r="G221" s="9">
        <f>F221-F220</f>
        <v/>
      </c>
      <c r="H221" s="10">
        <f>IF(F220=0,0,G221/F220)</f>
        <v/>
      </c>
      <c r="I221" s="8">
        <f>D221-E221</f>
        <v/>
      </c>
      <c r="J221" s="4">
        <f>IF(F221&gt;C221,"Up",IF(F221&lt;C221,"Down","Flat"))</f>
        <v/>
      </c>
      <c r="K221" s="14" t="n">
        <v>23.94</v>
      </c>
      <c r="L221" s="15" t="n">
        <v>48.55</v>
      </c>
      <c r="M221" s="14" t="n">
        <v>1782.84</v>
      </c>
      <c r="N221" s="14" t="n">
        <v>1790.4</v>
      </c>
      <c r="O221" s="14" t="n">
        <v>1822.92</v>
      </c>
      <c r="P221" s="4">
        <f>IF(O221="","",IF(F221&gt;O221,"Above","Below"))</f>
        <v/>
      </c>
      <c r="Q221" s="16" t="n">
        <v>137832</v>
      </c>
      <c r="R221" s="17" t="n">
        <v>0</v>
      </c>
      <c r="S221" s="17" t="n">
        <v>0</v>
      </c>
      <c r="T221" s="17" t="n">
        <v>0</v>
      </c>
      <c r="U221" s="18" t="n">
        <v>0</v>
      </c>
    </row>
    <row r="222">
      <c r="A222" s="13" t="n">
        <v>44791</v>
      </c>
      <c r="B222" s="4">
        <f>TEXT(A222,"ddd")</f>
        <v/>
      </c>
      <c r="C222" s="14" t="n">
        <v>1777.1</v>
      </c>
      <c r="D222" s="14" t="n">
        <v>1786.3</v>
      </c>
      <c r="E222" s="14" t="n">
        <v>1768.8</v>
      </c>
      <c r="F222" s="14" t="n">
        <v>1771.2</v>
      </c>
      <c r="G222" s="9">
        <f>F222-F221</f>
        <v/>
      </c>
      <c r="H222" s="10">
        <f>IF(F221=0,0,G222/F221)</f>
        <v/>
      </c>
      <c r="I222" s="8">
        <f>D222-E222</f>
        <v/>
      </c>
      <c r="J222" s="4">
        <f>IF(F222&gt;C222,"Up",IF(F222&lt;C222,"Down","Flat"))</f>
        <v/>
      </c>
      <c r="K222" s="14" t="n">
        <v>23.48</v>
      </c>
      <c r="L222" s="15" t="n">
        <v>46.85</v>
      </c>
      <c r="M222" s="14" t="n">
        <v>1781.74</v>
      </c>
      <c r="N222" s="14" t="n">
        <v>1789.65</v>
      </c>
      <c r="O222" s="14" t="n">
        <v>1822.41</v>
      </c>
      <c r="P222" s="4">
        <f>IF(O222="","",IF(F222&gt;O222,"Above","Below"))</f>
        <v/>
      </c>
      <c r="Q222" s="16" t="n">
        <v>124319</v>
      </c>
      <c r="R222" s="17" t="n">
        <v>0</v>
      </c>
      <c r="S222" s="17" t="n">
        <v>0</v>
      </c>
      <c r="T222" s="17" t="n">
        <v>0</v>
      </c>
      <c r="U222" s="18" t="n">
        <v>0</v>
      </c>
    </row>
    <row r="223">
      <c r="A223" s="13" t="n">
        <v>44792</v>
      </c>
      <c r="B223" s="4">
        <f>TEXT(A223,"ddd")</f>
        <v/>
      </c>
      <c r="C223" s="14" t="n">
        <v>1773.1</v>
      </c>
      <c r="D223" s="14" t="n">
        <v>1773.3</v>
      </c>
      <c r="E223" s="14" t="n">
        <v>1759.1</v>
      </c>
      <c r="F223" s="14" t="n">
        <v>1762.9</v>
      </c>
      <c r="G223" s="9">
        <f>F223-F222</f>
        <v/>
      </c>
      <c r="H223" s="10">
        <f>IF(F222=0,0,G223/F222)</f>
        <v/>
      </c>
      <c r="I223" s="8">
        <f>D223-E223</f>
        <v/>
      </c>
      <c r="J223" s="4">
        <f>IF(F223&gt;C223,"Up",IF(F223&lt;C223,"Down","Flat"))</f>
        <v/>
      </c>
      <c r="K223" s="14" t="n">
        <v>22.82</v>
      </c>
      <c r="L223" s="15" t="n">
        <v>44.31</v>
      </c>
      <c r="M223" s="14" t="n">
        <v>1779.94</v>
      </c>
      <c r="N223" s="14" t="n">
        <v>1788.6</v>
      </c>
      <c r="O223" s="14" t="n">
        <v>1821.82</v>
      </c>
      <c r="P223" s="4">
        <f>IF(O223="","",IF(F223&gt;O223,"Above","Below"))</f>
        <v/>
      </c>
      <c r="Q223" s="16" t="n">
        <v>138699</v>
      </c>
      <c r="R223" s="17" t="n">
        <v>0</v>
      </c>
      <c r="S223" s="17" t="n">
        <v>0</v>
      </c>
      <c r="T223" s="17" t="n">
        <v>0</v>
      </c>
      <c r="U223" s="18" t="n">
        <v>0</v>
      </c>
    </row>
    <row r="224">
      <c r="A224" s="13" t="n">
        <v>44795</v>
      </c>
      <c r="B224" s="4">
        <f>TEXT(A224,"ddd")</f>
        <v/>
      </c>
      <c r="C224" s="14" t="n">
        <v>1760.6</v>
      </c>
      <c r="D224" s="14" t="n">
        <v>1762.1</v>
      </c>
      <c r="E224" s="14" t="n">
        <v>1740.2</v>
      </c>
      <c r="F224" s="14" t="n">
        <v>1748.4</v>
      </c>
      <c r="G224" s="9">
        <f>F224-F223</f>
        <v/>
      </c>
      <c r="H224" s="10">
        <f>IF(F223=0,0,G224/F223)</f>
        <v/>
      </c>
      <c r="I224" s="8">
        <f>D224-E224</f>
        <v/>
      </c>
      <c r="J224" s="4">
        <f>IF(F224&gt;C224,"Up",IF(F224&lt;C224,"Down","Flat"))</f>
        <v/>
      </c>
      <c r="K224" s="14" t="n">
        <v>22.81</v>
      </c>
      <c r="L224" s="15" t="n">
        <v>40.22</v>
      </c>
      <c r="M224" s="14" t="n">
        <v>1776.94</v>
      </c>
      <c r="N224" s="14" t="n">
        <v>1787.02</v>
      </c>
      <c r="O224" s="14" t="n">
        <v>1821.09</v>
      </c>
      <c r="P224" s="4">
        <f>IF(O224="","",IF(F224&gt;O224,"Above","Below"))</f>
        <v/>
      </c>
      <c r="Q224" s="16" t="n">
        <v>142857</v>
      </c>
      <c r="R224" s="17" t="n">
        <v>0</v>
      </c>
      <c r="S224" s="17" t="n">
        <v>0</v>
      </c>
      <c r="T224" s="17" t="n">
        <v>0</v>
      </c>
      <c r="U224" s="18" t="n">
        <v>0</v>
      </c>
    </row>
    <row r="225">
      <c r="A225" s="13" t="n">
        <v>44796</v>
      </c>
      <c r="B225" s="4">
        <f>TEXT(A225,"ddd")</f>
        <v/>
      </c>
      <c r="C225" s="14" t="n">
        <v>1750</v>
      </c>
      <c r="D225" s="14" t="n">
        <v>1767.5</v>
      </c>
      <c r="E225" s="14" t="n">
        <v>1743.1</v>
      </c>
      <c r="F225" s="14" t="n">
        <v>1761.2</v>
      </c>
      <c r="G225" s="9">
        <f>F225-F224</f>
        <v/>
      </c>
      <c r="H225" s="10">
        <f>IF(F224=0,0,G225/F224)</f>
        <v/>
      </c>
      <c r="I225" s="8">
        <f>D225-E225</f>
        <v/>
      </c>
      <c r="J225" s="4">
        <f>IF(F225&gt;C225,"Up",IF(F225&lt;C225,"Down","Flat"))</f>
        <v/>
      </c>
      <c r="K225" s="14" t="n">
        <v>22.92</v>
      </c>
      <c r="L225" s="15" t="n">
        <v>45.05</v>
      </c>
      <c r="M225" s="14" t="n">
        <v>1775.44</v>
      </c>
      <c r="N225" s="14" t="n">
        <v>1786.01</v>
      </c>
      <c r="O225" s="14" t="n">
        <v>1820.49</v>
      </c>
      <c r="P225" s="4">
        <f>IF(O225="","",IF(F225&gt;O225,"Above","Below"))</f>
        <v/>
      </c>
      <c r="Q225" s="16" t="n">
        <v>145260</v>
      </c>
      <c r="R225" s="17" t="n">
        <v>0</v>
      </c>
      <c r="S225" s="17" t="n">
        <v>0</v>
      </c>
      <c r="T225" s="17" t="n">
        <v>0</v>
      </c>
      <c r="U225" s="18" t="n">
        <v>0</v>
      </c>
    </row>
    <row r="226">
      <c r="A226" s="13" t="n">
        <v>44797</v>
      </c>
      <c r="B226" s="4">
        <f>TEXT(A226,"ddd")</f>
        <v/>
      </c>
      <c r="C226" s="14" t="n">
        <v>1761.3</v>
      </c>
      <c r="D226" s="14" t="n">
        <v>1769.5</v>
      </c>
      <c r="E226" s="14" t="n">
        <v>1754.8</v>
      </c>
      <c r="F226" s="14" t="n">
        <v>1761.5</v>
      </c>
      <c r="G226" s="9">
        <f>F226-F225</f>
        <v/>
      </c>
      <c r="H226" s="10">
        <f>IF(F225=0,0,G226/F225)</f>
        <v/>
      </c>
      <c r="I226" s="8">
        <f>D226-E226</f>
        <v/>
      </c>
      <c r="J226" s="4">
        <f>IF(F226&gt;C226,"Up",IF(F226&lt;C226,"Down","Flat"))</f>
        <v/>
      </c>
      <c r="K226" s="14" t="n">
        <v>22.34</v>
      </c>
      <c r="L226" s="15" t="n">
        <v>45.16</v>
      </c>
      <c r="M226" s="14" t="n">
        <v>1774.11</v>
      </c>
      <c r="N226" s="14" t="n">
        <v>1785.05</v>
      </c>
      <c r="O226" s="14" t="n">
        <v>1819.9</v>
      </c>
      <c r="P226" s="4">
        <f>IF(O226="","",IF(F226&gt;O226,"Above","Below"))</f>
        <v/>
      </c>
      <c r="Q226" s="16" t="n">
        <v>112645</v>
      </c>
      <c r="R226" s="17" t="n">
        <v>0</v>
      </c>
      <c r="S226" s="17" t="n">
        <v>0</v>
      </c>
      <c r="T226" s="17" t="n">
        <v>0</v>
      </c>
      <c r="U226" s="18" t="n">
        <v>0</v>
      </c>
    </row>
    <row r="227">
      <c r="A227" s="13" t="n">
        <v>44798</v>
      </c>
      <c r="B227" s="4">
        <f>TEXT(A227,"ddd")</f>
        <v/>
      </c>
      <c r="C227" s="14" t="n">
        <v>1764.4</v>
      </c>
      <c r="D227" s="14" t="n">
        <v>1778.8</v>
      </c>
      <c r="E227" s="14" t="n">
        <v>1763</v>
      </c>
      <c r="F227" s="14" t="n">
        <v>1771.4</v>
      </c>
      <c r="G227" s="9">
        <f>F227-F226</f>
        <v/>
      </c>
      <c r="H227" s="10">
        <f>IF(F226=0,0,G227/F226)</f>
        <v/>
      </c>
      <c r="I227" s="8">
        <f>D227-E227</f>
        <v/>
      </c>
      <c r="J227" s="4">
        <f>IF(F227&gt;C227,"Up",IF(F227&lt;C227,"Down","Flat"))</f>
        <v/>
      </c>
      <c r="K227" s="14" t="n">
        <v>21.98</v>
      </c>
      <c r="L227" s="15" t="n">
        <v>48.85</v>
      </c>
      <c r="M227" s="14" t="n">
        <v>1773.85</v>
      </c>
      <c r="N227" s="14" t="n">
        <v>1784.51</v>
      </c>
      <c r="O227" s="14" t="n">
        <v>1819.42</v>
      </c>
      <c r="P227" s="4">
        <f>IF(O227="","",IF(F227&gt;O227,"Above","Below"))</f>
        <v/>
      </c>
      <c r="Q227" s="16" t="n">
        <v>117570</v>
      </c>
      <c r="R227" s="17" t="n">
        <v>0</v>
      </c>
      <c r="S227" s="17" t="n">
        <v>0</v>
      </c>
      <c r="T227" s="17" t="n">
        <v>0</v>
      </c>
      <c r="U227" s="18" t="n">
        <v>0</v>
      </c>
    </row>
    <row r="228">
      <c r="A228" s="13" t="n">
        <v>44799</v>
      </c>
      <c r="B228" s="4">
        <f>TEXT(A228,"ddd")</f>
        <v/>
      </c>
      <c r="C228" s="14" t="n">
        <v>1771.8</v>
      </c>
      <c r="D228" s="14" t="n">
        <v>1772.3</v>
      </c>
      <c r="E228" s="14" t="n">
        <v>1746.2</v>
      </c>
      <c r="F228" s="14" t="n">
        <v>1749.8</v>
      </c>
      <c r="G228" s="9">
        <f>F228-F227</f>
        <v/>
      </c>
      <c r="H228" s="10">
        <f>IF(F227=0,0,G228/F227)</f>
        <v/>
      </c>
      <c r="I228" s="8">
        <f>D228-E228</f>
        <v/>
      </c>
      <c r="J228" s="4">
        <f>IF(F228&gt;C228,"Up",IF(F228&lt;C228,"Down","Flat"))</f>
        <v/>
      </c>
      <c r="K228" s="14" t="n">
        <v>22.27</v>
      </c>
      <c r="L228" s="15" t="n">
        <v>42.18</v>
      </c>
      <c r="M228" s="14" t="n">
        <v>1771.56</v>
      </c>
      <c r="N228" s="14" t="n">
        <v>1783.15</v>
      </c>
      <c r="O228" s="14" t="n">
        <v>1818.73</v>
      </c>
      <c r="P228" s="4">
        <f>IF(O228="","",IF(F228&gt;O228,"Above","Below"))</f>
        <v/>
      </c>
      <c r="Q228" s="16" t="n">
        <v>176904</v>
      </c>
      <c r="R228" s="17" t="n">
        <v>0</v>
      </c>
      <c r="S228" s="17" t="n">
        <v>0</v>
      </c>
      <c r="T228" s="17" t="n">
        <v>0</v>
      </c>
      <c r="U228" s="18" t="n">
        <v>0</v>
      </c>
    </row>
    <row r="229">
      <c r="A229" s="13" t="n">
        <v>44802</v>
      </c>
      <c r="B229" s="4">
        <f>TEXT(A229,"ddd")</f>
        <v/>
      </c>
      <c r="C229" s="14" t="n">
        <v>1748.4</v>
      </c>
      <c r="D229" s="14" t="n">
        <v>1757.9</v>
      </c>
      <c r="E229" s="14" t="n">
        <v>1731.4</v>
      </c>
      <c r="F229" s="14" t="n">
        <v>1749.7</v>
      </c>
      <c r="G229" s="9">
        <f>F229-F228</f>
        <v/>
      </c>
      <c r="H229" s="10">
        <f>IF(F228=0,0,G229/F228)</f>
        <v/>
      </c>
      <c r="I229" s="8">
        <f>D229-E229</f>
        <v/>
      </c>
      <c r="J229" s="4">
        <f>IF(F229&gt;C229,"Up",IF(F229&lt;C229,"Down","Flat"))</f>
        <v/>
      </c>
      <c r="K229" s="14" t="n">
        <v>22.57</v>
      </c>
      <c r="L229" s="15" t="n">
        <v>42.15</v>
      </c>
      <c r="M229" s="14" t="n">
        <v>1769.48</v>
      </c>
      <c r="N229" s="14" t="n">
        <v>1781.84</v>
      </c>
      <c r="O229" s="14" t="n">
        <v>1818.04</v>
      </c>
      <c r="P229" s="4">
        <f>IF(O229="","",IF(F229&gt;O229,"Above","Below"))</f>
        <v/>
      </c>
      <c r="Q229" s="16" t="n">
        <v>156220</v>
      </c>
      <c r="R229" s="17" t="n">
        <v>0</v>
      </c>
      <c r="S229" s="17" t="n">
        <v>0</v>
      </c>
      <c r="T229" s="17" t="n">
        <v>0</v>
      </c>
      <c r="U229" s="18" t="n">
        <v>0</v>
      </c>
    </row>
    <row r="230">
      <c r="A230" s="13" t="n">
        <v>44803</v>
      </c>
      <c r="B230" s="4">
        <f>TEXT(A230,"ddd")</f>
        <v/>
      </c>
      <c r="C230" s="14" t="n">
        <v>1749.8</v>
      </c>
      <c r="D230" s="14" t="n">
        <v>1752.8</v>
      </c>
      <c r="E230" s="14" t="n">
        <v>1732.9</v>
      </c>
      <c r="F230" s="14" t="n">
        <v>1736.3</v>
      </c>
      <c r="G230" s="9">
        <f>F230-F229</f>
        <v/>
      </c>
      <c r="H230" s="10">
        <f>IF(F229=0,0,G230/F229)</f>
        <v/>
      </c>
      <c r="I230" s="8">
        <f>D230-E230</f>
        <v/>
      </c>
      <c r="J230" s="4">
        <f>IF(F230&gt;C230,"Up",IF(F230&lt;C230,"Down","Flat"))</f>
        <v/>
      </c>
      <c r="K230" s="14" t="n">
        <v>22.38</v>
      </c>
      <c r="L230" s="15" t="n">
        <v>38.38</v>
      </c>
      <c r="M230" s="14" t="n">
        <v>1766.32</v>
      </c>
      <c r="N230" s="14" t="n">
        <v>1780.05</v>
      </c>
      <c r="O230" s="14" t="n">
        <v>1817.23</v>
      </c>
      <c r="P230" s="4">
        <f>IF(O230="","",IF(F230&gt;O230,"Above","Below"))</f>
        <v/>
      </c>
      <c r="Q230" s="16" t="n">
        <v>130664</v>
      </c>
      <c r="R230" s="17" t="n">
        <v>0</v>
      </c>
      <c r="S230" s="17" t="n">
        <v>0</v>
      </c>
      <c r="T230" s="17" t="n">
        <v>0</v>
      </c>
      <c r="U230" s="18" t="n">
        <v>0</v>
      </c>
    </row>
    <row r="231">
      <c r="A231" s="13" t="n">
        <v>44804</v>
      </c>
      <c r="B231" s="4">
        <f>TEXT(A231,"ddd")</f>
        <v/>
      </c>
      <c r="C231" s="14" t="n">
        <v>1735.5</v>
      </c>
      <c r="D231" s="14" t="n">
        <v>1738</v>
      </c>
      <c r="E231" s="14" t="n">
        <v>1720.6</v>
      </c>
      <c r="F231" s="14" t="n">
        <v>1726.2</v>
      </c>
      <c r="G231" s="9">
        <f>F231-F230</f>
        <v/>
      </c>
      <c r="H231" s="10">
        <f>IF(F230=0,0,G231/F230)</f>
        <v/>
      </c>
      <c r="I231" s="8">
        <f>D231-E231</f>
        <v/>
      </c>
      <c r="J231" s="4">
        <f>IF(F231&gt;C231,"Up",IF(F231&lt;C231,"Down","Flat"))</f>
        <v/>
      </c>
      <c r="K231" s="14" t="n">
        <v>22.03</v>
      </c>
      <c r="L231" s="15" t="n">
        <v>35.78</v>
      </c>
      <c r="M231" s="14" t="n">
        <v>1762.5</v>
      </c>
      <c r="N231" s="14" t="n">
        <v>1777.94</v>
      </c>
      <c r="O231" s="14" t="n">
        <v>1816.32</v>
      </c>
      <c r="P231" s="4">
        <f>IF(O231="","",IF(F231&gt;O231,"Above","Below"))</f>
        <v/>
      </c>
      <c r="Q231" s="16" t="n">
        <v>176731</v>
      </c>
      <c r="R231" s="17" t="n">
        <v>0</v>
      </c>
      <c r="S231" s="17" t="n">
        <v>0</v>
      </c>
      <c r="T231" s="17" t="n">
        <v>0</v>
      </c>
      <c r="U231" s="18" t="n">
        <v>0</v>
      </c>
    </row>
    <row r="232">
      <c r="A232" s="13" t="n">
        <v>44805</v>
      </c>
      <c r="B232" s="4">
        <f>TEXT(A232,"ddd")</f>
        <v/>
      </c>
      <c r="C232" s="14" t="n">
        <v>1723</v>
      </c>
      <c r="D232" s="14" t="n">
        <v>1723</v>
      </c>
      <c r="E232" s="14" t="n">
        <v>1699.1</v>
      </c>
      <c r="F232" s="14" t="n">
        <v>1709.3</v>
      </c>
      <c r="G232" s="9">
        <f>F232-F231</f>
        <v/>
      </c>
      <c r="H232" s="10">
        <f>IF(F231=0,0,G232/F231)</f>
        <v/>
      </c>
      <c r="I232" s="8">
        <f>D232-E232</f>
        <v/>
      </c>
      <c r="J232" s="4">
        <f>IF(F232&gt;C232,"Up",IF(F232&lt;C232,"Down","Flat"))</f>
        <v/>
      </c>
      <c r="K232" s="14" t="n">
        <v>22.39</v>
      </c>
      <c r="L232" s="15" t="n">
        <v>31.89</v>
      </c>
      <c r="M232" s="14" t="n">
        <v>1757.43</v>
      </c>
      <c r="N232" s="14" t="n">
        <v>1775.25</v>
      </c>
      <c r="O232" s="14" t="n">
        <v>1815.26</v>
      </c>
      <c r="P232" s="4">
        <f>IF(O232="","",IF(F232&gt;O232,"Above","Below"))</f>
        <v/>
      </c>
      <c r="Q232" s="16" t="n">
        <v>198618</v>
      </c>
      <c r="R232" s="17" t="n">
        <v>0</v>
      </c>
      <c r="S232" s="17" t="n">
        <v>0</v>
      </c>
      <c r="T232" s="17" t="n">
        <v>0</v>
      </c>
      <c r="U232" s="18" t="n">
        <v>0</v>
      </c>
    </row>
    <row r="233">
      <c r="A233" s="13" t="n">
        <v>44806</v>
      </c>
      <c r="B233" s="4">
        <f>TEXT(A233,"ddd")</f>
        <v/>
      </c>
      <c r="C233" s="14" t="n">
        <v>1707.8</v>
      </c>
      <c r="D233" s="14" t="n">
        <v>1729.5</v>
      </c>
      <c r="E233" s="14" t="n">
        <v>1705.9</v>
      </c>
      <c r="F233" s="14" t="n">
        <v>1722.6</v>
      </c>
      <c r="G233" s="9">
        <f>F233-F232</f>
        <v/>
      </c>
      <c r="H233" s="10">
        <f>IF(F232=0,0,G233/F232)</f>
        <v/>
      </c>
      <c r="I233" s="8">
        <f>D233-E233</f>
        <v/>
      </c>
      <c r="J233" s="4">
        <f>IF(F233&gt;C233,"Up",IF(F233&lt;C233,"Down","Flat"))</f>
        <v/>
      </c>
      <c r="K233" s="14" t="n">
        <v>22.47</v>
      </c>
      <c r="L233" s="15" t="n">
        <v>37.64</v>
      </c>
      <c r="M233" s="14" t="n">
        <v>1754.12</v>
      </c>
      <c r="N233" s="14" t="n">
        <v>1773.18</v>
      </c>
      <c r="O233" s="14" t="n">
        <v>1814.34</v>
      </c>
      <c r="P233" s="4">
        <f>IF(O233="","",IF(F233&gt;O233,"Above","Below"))</f>
        <v/>
      </c>
      <c r="Q233" s="16" t="n">
        <v>174684</v>
      </c>
      <c r="R233" s="17" t="n">
        <v>0</v>
      </c>
      <c r="S233" s="17" t="n">
        <v>0</v>
      </c>
      <c r="T233" s="17" t="n">
        <v>0</v>
      </c>
      <c r="U233" s="18" t="n">
        <v>0</v>
      </c>
    </row>
    <row r="234">
      <c r="A234" s="13" t="n">
        <v>44810</v>
      </c>
      <c r="B234" s="4">
        <f>TEXT(A234,"ddd")</f>
        <v/>
      </c>
      <c r="C234" s="14" t="n">
        <v>1724.2</v>
      </c>
      <c r="D234" s="14" t="n">
        <v>1737.4</v>
      </c>
      <c r="E234" s="14" t="n">
        <v>1710.6</v>
      </c>
      <c r="F234" s="14" t="n">
        <v>1712.9</v>
      </c>
      <c r="G234" s="9">
        <f>F234-F233</f>
        <v/>
      </c>
      <c r="H234" s="10">
        <f>IF(F233=0,0,G234/F233)</f>
        <v/>
      </c>
      <c r="I234" s="8">
        <f>D234-E234</f>
        <v/>
      </c>
      <c r="J234" s="4">
        <f>IF(F234&gt;C234,"Up",IF(F234&lt;C234,"Down","Flat"))</f>
        <v/>
      </c>
      <c r="K234" s="14" t="n">
        <v>22.78</v>
      </c>
      <c r="L234" s="15" t="n">
        <v>35.3</v>
      </c>
      <c r="M234" s="14" t="n">
        <v>1750.19</v>
      </c>
      <c r="N234" s="14" t="n">
        <v>1770.82</v>
      </c>
      <c r="O234" s="14" t="n">
        <v>1813.33</v>
      </c>
      <c r="P234" s="4">
        <f>IF(O234="","",IF(F234&gt;O234,"Above","Below"))</f>
        <v/>
      </c>
      <c r="Q234" s="16" t="n">
        <v>206268</v>
      </c>
      <c r="R234" s="17" t="n">
        <v>0</v>
      </c>
      <c r="S234" s="17" t="n">
        <v>0</v>
      </c>
      <c r="T234" s="17" t="n">
        <v>0</v>
      </c>
      <c r="U234" s="18" t="n">
        <v>0</v>
      </c>
    </row>
    <row r="235">
      <c r="A235" s="13" t="n">
        <v>44811</v>
      </c>
      <c r="B235" s="4">
        <f>TEXT(A235,"ddd")</f>
        <v/>
      </c>
      <c r="C235" s="14" t="n">
        <v>1712.9</v>
      </c>
      <c r="D235" s="14" t="n">
        <v>1731.2</v>
      </c>
      <c r="E235" s="14" t="n">
        <v>1701.7</v>
      </c>
      <c r="F235" s="14" t="n">
        <v>1727.8</v>
      </c>
      <c r="G235" s="9">
        <f>F235-F234</f>
        <v/>
      </c>
      <c r="H235" s="10">
        <f>IF(F234=0,0,G235/F234)</f>
        <v/>
      </c>
      <c r="I235" s="8">
        <f>D235-E235</f>
        <v/>
      </c>
      <c r="J235" s="4">
        <f>IF(F235&gt;C235,"Up",IF(F235&lt;C235,"Down","Flat"))</f>
        <v/>
      </c>
      <c r="K235" s="14" t="n">
        <v>23.26</v>
      </c>
      <c r="L235" s="15" t="n">
        <v>41.33</v>
      </c>
      <c r="M235" s="14" t="n">
        <v>1748.06</v>
      </c>
      <c r="N235" s="14" t="n">
        <v>1769.13</v>
      </c>
      <c r="O235" s="14" t="n">
        <v>1812.48</v>
      </c>
      <c r="P235" s="4">
        <f>IF(O235="","",IF(F235&gt;O235,"Above","Below"))</f>
        <v/>
      </c>
      <c r="Q235" s="16" t="n">
        <v>173624</v>
      </c>
      <c r="R235" s="17" t="n">
        <v>0</v>
      </c>
      <c r="S235" s="17" t="n">
        <v>0</v>
      </c>
      <c r="T235" s="17" t="n">
        <v>0</v>
      </c>
      <c r="U235" s="18" t="n">
        <v>0</v>
      </c>
    </row>
    <row r="236">
      <c r="A236" s="13" t="n">
        <v>44812</v>
      </c>
      <c r="B236" s="4">
        <f>TEXT(A236,"ddd")</f>
        <v/>
      </c>
      <c r="C236" s="14" t="n">
        <v>1729.5</v>
      </c>
      <c r="D236" s="14" t="n">
        <v>1739.4</v>
      </c>
      <c r="E236" s="14" t="n">
        <v>1713.7</v>
      </c>
      <c r="F236" s="14" t="n">
        <v>1720.2</v>
      </c>
      <c r="G236" s="9">
        <f>F236-F235</f>
        <v/>
      </c>
      <c r="H236" s="10">
        <f>IF(F235=0,0,G236/F235)</f>
        <v/>
      </c>
      <c r="I236" s="8">
        <f>D236-E236</f>
        <v/>
      </c>
      <c r="J236" s="4">
        <f>IF(F236&gt;C236,"Up",IF(F236&lt;C236,"Down","Flat"))</f>
        <v/>
      </c>
      <c r="K236" s="14" t="n">
        <v>23.44</v>
      </c>
      <c r="L236" s="15" t="n">
        <v>39.32</v>
      </c>
      <c r="M236" s="14" t="n">
        <v>1745.4</v>
      </c>
      <c r="N236" s="14" t="n">
        <v>1767.21</v>
      </c>
      <c r="O236" s="14" t="n">
        <v>1811.56</v>
      </c>
      <c r="P236" s="4">
        <f>IF(O236="","",IF(F236&gt;O236,"Above","Below"))</f>
        <v/>
      </c>
      <c r="Q236" s="16" t="n">
        <v>184176</v>
      </c>
      <c r="R236" s="17" t="n">
        <v>0</v>
      </c>
      <c r="S236" s="17" t="n">
        <v>0</v>
      </c>
      <c r="T236" s="17" t="n">
        <v>0</v>
      </c>
      <c r="U236" s="18" t="n">
        <v>0</v>
      </c>
    </row>
    <row r="237">
      <c r="A237" s="13" t="n">
        <v>44813</v>
      </c>
      <c r="B237" s="4">
        <f>TEXT(A237,"ddd")</f>
        <v/>
      </c>
      <c r="C237" s="14" t="n">
        <v>1719.6</v>
      </c>
      <c r="D237" s="14" t="n">
        <v>1740.5</v>
      </c>
      <c r="E237" s="14" t="n">
        <v>1719.4</v>
      </c>
      <c r="F237" s="14" t="n">
        <v>1728.6</v>
      </c>
      <c r="G237" s="9">
        <f>F237-F236</f>
        <v/>
      </c>
      <c r="H237" s="10">
        <f>IF(F236=0,0,G237/F236)</f>
        <v/>
      </c>
      <c r="I237" s="8">
        <f>D237-E237</f>
        <v/>
      </c>
      <c r="J237" s="4">
        <f>IF(F237&gt;C237,"Up",IF(F237&lt;C237,"Down","Flat"))</f>
        <v/>
      </c>
      <c r="K237" s="14" t="n">
        <v>23.27</v>
      </c>
      <c r="L237" s="15" t="n">
        <v>42.64</v>
      </c>
      <c r="M237" s="14" t="n">
        <v>1743.8</v>
      </c>
      <c r="N237" s="14" t="n">
        <v>1765.7</v>
      </c>
      <c r="O237" s="14" t="n">
        <v>1810.73</v>
      </c>
      <c r="P237" s="4">
        <f>IF(O237="","",IF(F237&gt;O237,"Above","Below"))</f>
        <v/>
      </c>
      <c r="Q237" s="16" t="n">
        <v>154706</v>
      </c>
      <c r="R237" s="17" t="n">
        <v>0</v>
      </c>
      <c r="S237" s="17" t="n">
        <v>0</v>
      </c>
      <c r="T237" s="17" t="n">
        <v>0</v>
      </c>
      <c r="U237" s="18" t="n">
        <v>0</v>
      </c>
    </row>
    <row r="238">
      <c r="A238" s="13" t="n">
        <v>44816</v>
      </c>
      <c r="B238" s="4">
        <f>TEXT(A238,"ddd")</f>
        <v/>
      </c>
      <c r="C238" s="14" t="n">
        <v>1728.4</v>
      </c>
      <c r="D238" s="14" t="n">
        <v>1746.4</v>
      </c>
      <c r="E238" s="14" t="n">
        <v>1722.3</v>
      </c>
      <c r="F238" s="14" t="n">
        <v>1740.6</v>
      </c>
      <c r="G238" s="9">
        <f>F238-F237</f>
        <v/>
      </c>
      <c r="H238" s="10">
        <f>IF(F237=0,0,G238/F237)</f>
        <v/>
      </c>
      <c r="I238" s="8">
        <f>D238-E238</f>
        <v/>
      </c>
      <c r="J238" s="4">
        <f>IF(F238&gt;C238,"Up",IF(F238&lt;C238,"Down","Flat"))</f>
        <v/>
      </c>
      <c r="K238" s="14" t="n">
        <v>23.33</v>
      </c>
      <c r="L238" s="15" t="n">
        <v>47.1</v>
      </c>
      <c r="M238" s="14" t="n">
        <v>1743.5</v>
      </c>
      <c r="N238" s="14" t="n">
        <v>1764.72</v>
      </c>
      <c r="O238" s="14" t="n">
        <v>1810.03</v>
      </c>
      <c r="P238" s="4">
        <f>IF(O238="","",IF(F238&gt;O238,"Above","Below"))</f>
        <v/>
      </c>
      <c r="Q238" s="16" t="n">
        <v>154374</v>
      </c>
      <c r="R238" s="17" t="n">
        <v>0</v>
      </c>
      <c r="S238" s="17" t="n">
        <v>0</v>
      </c>
      <c r="T238" s="17" t="n">
        <v>0</v>
      </c>
      <c r="U238" s="18" t="n">
        <v>0</v>
      </c>
    </row>
    <row r="239">
      <c r="A239" s="13" t="n">
        <v>44817</v>
      </c>
      <c r="B239" s="4">
        <f>TEXT(A239,"ddd")</f>
        <v/>
      </c>
      <c r="C239" s="14" t="n">
        <v>1736</v>
      </c>
      <c r="D239" s="14" t="n">
        <v>1742.9</v>
      </c>
      <c r="E239" s="14" t="n">
        <v>1706.7</v>
      </c>
      <c r="F239" s="14" t="n">
        <v>1717.4</v>
      </c>
      <c r="G239" s="9">
        <f>F239-F238</f>
        <v/>
      </c>
      <c r="H239" s="10">
        <f>IF(F238=0,0,G239/F238)</f>
        <v/>
      </c>
      <c r="I239" s="8">
        <f>D239-E239</f>
        <v/>
      </c>
      <c r="J239" s="4">
        <f>IF(F239&gt;C239,"Up",IF(F239&lt;C239,"Down","Flat"))</f>
        <v/>
      </c>
      <c r="K239" s="14" t="n">
        <v>24.25</v>
      </c>
      <c r="L239" s="15" t="n">
        <v>40.54</v>
      </c>
      <c r="M239" s="14" t="n">
        <v>1741.01</v>
      </c>
      <c r="N239" s="14" t="n">
        <v>1762.86</v>
      </c>
      <c r="O239" s="14" t="n">
        <v>1809.11</v>
      </c>
      <c r="P239" s="4">
        <f>IF(O239="","",IF(F239&gt;O239,"Above","Below"))</f>
        <v/>
      </c>
      <c r="Q239" s="16" t="n">
        <v>232696</v>
      </c>
      <c r="R239" s="17" t="n">
        <v>0</v>
      </c>
      <c r="S239" s="17" t="n">
        <v>0</v>
      </c>
      <c r="T239" s="17" t="n">
        <v>0</v>
      </c>
      <c r="U239" s="18" t="n">
        <v>0</v>
      </c>
    </row>
    <row r="240">
      <c r="A240" s="13" t="n">
        <v>44818</v>
      </c>
      <c r="B240" s="4">
        <f>TEXT(A240,"ddd")</f>
        <v/>
      </c>
      <c r="C240" s="14" t="n">
        <v>1711.6</v>
      </c>
      <c r="D240" s="14" t="n">
        <v>1717.3</v>
      </c>
      <c r="E240" s="14" t="n">
        <v>1703.3</v>
      </c>
      <c r="F240" s="14" t="n">
        <v>1709.1</v>
      </c>
      <c r="G240" s="9">
        <f>F240-F239</f>
        <v/>
      </c>
      <c r="H240" s="10">
        <f>IF(F239=0,0,G240/F239)</f>
        <v/>
      </c>
      <c r="I240" s="8">
        <f>D240-E240</f>
        <v/>
      </c>
      <c r="J240" s="4">
        <f>IF(F240&gt;C240,"Up",IF(F240&lt;C240,"Down","Flat"))</f>
        <v/>
      </c>
      <c r="K240" s="14" t="n">
        <v>23.52</v>
      </c>
      <c r="L240" s="15" t="n">
        <v>38.47</v>
      </c>
      <c r="M240" s="14" t="n">
        <v>1737.97</v>
      </c>
      <c r="N240" s="14" t="n">
        <v>1760.75</v>
      </c>
      <c r="O240" s="14" t="n">
        <v>1808.12</v>
      </c>
      <c r="P240" s="4">
        <f>IF(O240="","",IF(F240&gt;O240,"Above","Below"))</f>
        <v/>
      </c>
      <c r="Q240" s="16" t="n">
        <v>163288</v>
      </c>
      <c r="R240" s="17" t="n">
        <v>0</v>
      </c>
      <c r="S240" s="17" t="n">
        <v>0</v>
      </c>
      <c r="T240" s="17" t="n">
        <v>0</v>
      </c>
      <c r="U240" s="18" t="n">
        <v>0</v>
      </c>
    </row>
    <row r="241">
      <c r="A241" s="13" t="n">
        <v>44819</v>
      </c>
      <c r="B241" s="4">
        <f>TEXT(A241,"ddd")</f>
        <v/>
      </c>
      <c r="C241" s="14" t="n">
        <v>1707.2</v>
      </c>
      <c r="D241" s="14" t="n">
        <v>1707.8</v>
      </c>
      <c r="E241" s="14" t="n">
        <v>1668.9</v>
      </c>
      <c r="F241" s="14" t="n">
        <v>1677.3</v>
      </c>
      <c r="G241" s="9">
        <f>F241-F240</f>
        <v/>
      </c>
      <c r="H241" s="10">
        <f>IF(F240=0,0,G241/F240)</f>
        <v/>
      </c>
      <c r="I241" s="8">
        <f>D241-E241</f>
        <v/>
      </c>
      <c r="J241" s="4">
        <f>IF(F241&gt;C241,"Up",IF(F241&lt;C241,"Down","Flat"))</f>
        <v/>
      </c>
      <c r="K241" s="14" t="n">
        <v>24.72</v>
      </c>
      <c r="L241" s="15" t="n">
        <v>31.79</v>
      </c>
      <c r="M241" s="14" t="n">
        <v>1732.2</v>
      </c>
      <c r="N241" s="14" t="n">
        <v>1757.48</v>
      </c>
      <c r="O241" s="14" t="n">
        <v>1806.82</v>
      </c>
      <c r="P241" s="4">
        <f>IF(O241="","",IF(F241&gt;O241,"Above","Below"))</f>
        <v/>
      </c>
      <c r="Q241" s="16" t="n">
        <v>268094</v>
      </c>
      <c r="R241" s="17" t="n">
        <v>0</v>
      </c>
      <c r="S241" s="17" t="n">
        <v>0</v>
      </c>
      <c r="T241" s="17" t="n">
        <v>0</v>
      </c>
      <c r="U241" s="18" t="n">
        <v>0</v>
      </c>
    </row>
    <row r="242">
      <c r="A242" s="13" t="n">
        <v>44820</v>
      </c>
      <c r="B242" s="4">
        <f>TEXT(A242,"ddd")</f>
        <v/>
      </c>
      <c r="C242" s="14" t="n">
        <v>1673.7</v>
      </c>
      <c r="D242" s="14" t="n">
        <v>1689.9</v>
      </c>
      <c r="E242" s="14" t="n">
        <v>1661.9</v>
      </c>
      <c r="F242" s="14" t="n">
        <v>1683.5</v>
      </c>
      <c r="G242" s="9">
        <f>F242-F241</f>
        <v/>
      </c>
      <c r="H242" s="10">
        <f>IF(F241=0,0,G242/F241)</f>
        <v/>
      </c>
      <c r="I242" s="8">
        <f>D242-E242</f>
        <v/>
      </c>
      <c r="J242" s="4">
        <f>IF(F242&gt;C242,"Up",IF(F242&lt;C242,"Down","Flat"))</f>
        <v/>
      </c>
      <c r="K242" s="14" t="n">
        <v>24.95</v>
      </c>
      <c r="L242" s="15" t="n">
        <v>34.19</v>
      </c>
      <c r="M242" s="14" t="n">
        <v>1727.56</v>
      </c>
      <c r="N242" s="14" t="n">
        <v>1754.58</v>
      </c>
      <c r="O242" s="14" t="n">
        <v>1805.59</v>
      </c>
      <c r="P242" s="4">
        <f>IF(O242="","",IF(F242&gt;O242,"Above","Below"))</f>
        <v/>
      </c>
      <c r="Q242" s="16" t="n">
        <v>217226</v>
      </c>
      <c r="R242" s="17" t="n">
        <v>0</v>
      </c>
      <c r="S242" s="17" t="n">
        <v>0</v>
      </c>
      <c r="T242" s="17" t="n">
        <v>0</v>
      </c>
      <c r="U242" s="18" t="n">
        <v>0</v>
      </c>
    </row>
    <row r="243">
      <c r="A243" s="13" t="n">
        <v>44823</v>
      </c>
      <c r="B243" s="4">
        <f>TEXT(A243,"ddd")</f>
        <v/>
      </c>
      <c r="C243" s="14" t="n">
        <v>1685.4</v>
      </c>
      <c r="D243" s="14" t="n">
        <v>1688.8</v>
      </c>
      <c r="E243" s="14" t="n">
        <v>1667.6</v>
      </c>
      <c r="F243" s="14" t="n">
        <v>1678.2</v>
      </c>
      <c r="G243" s="9">
        <f>F243-F242</f>
        <v/>
      </c>
      <c r="H243" s="10">
        <f>IF(F242=0,0,G243/F242)</f>
        <v/>
      </c>
      <c r="I243" s="8">
        <f>D243-E243</f>
        <v/>
      </c>
      <c r="J243" s="4">
        <f>IF(F243&gt;C243,"Up",IF(F243&lt;C243,"Down","Flat"))</f>
        <v/>
      </c>
      <c r="K243" s="14" t="n">
        <v>24.68</v>
      </c>
      <c r="L243" s="15" t="n">
        <v>33.12</v>
      </c>
      <c r="M243" s="14" t="n">
        <v>1722.86</v>
      </c>
      <c r="N243" s="14" t="n">
        <v>1751.58</v>
      </c>
      <c r="O243" s="14" t="n">
        <v>1804.32</v>
      </c>
      <c r="P243" s="4">
        <f>IF(O243="","",IF(F243&gt;O243,"Above","Below"))</f>
        <v/>
      </c>
      <c r="Q243" s="16" t="n">
        <v>141171</v>
      </c>
      <c r="R243" s="17" t="n">
        <v>0</v>
      </c>
      <c r="S243" s="17" t="n">
        <v>0</v>
      </c>
      <c r="T243" s="17" t="n">
        <v>0</v>
      </c>
      <c r="U243" s="18" t="n">
        <v>0</v>
      </c>
    </row>
    <row r="244">
      <c r="A244" s="13" t="n">
        <v>44824</v>
      </c>
      <c r="B244" s="4">
        <f>TEXT(A244,"ddd")</f>
        <v/>
      </c>
      <c r="C244" s="14" t="n">
        <v>1684.9</v>
      </c>
      <c r="D244" s="14" t="n">
        <v>1688.8</v>
      </c>
      <c r="E244" s="14" t="n">
        <v>1668.1</v>
      </c>
      <c r="F244" s="14" t="n">
        <v>1671.1</v>
      </c>
      <c r="G244" s="9">
        <f>F244-F243</f>
        <v/>
      </c>
      <c r="H244" s="10">
        <f>IF(F243=0,0,G244/F243)</f>
        <v/>
      </c>
      <c r="I244" s="8">
        <f>D244-E244</f>
        <v/>
      </c>
      <c r="J244" s="4">
        <f>IF(F244&gt;C244,"Up",IF(F244&lt;C244,"Down","Flat"))</f>
        <v/>
      </c>
      <c r="K244" s="14" t="n">
        <v>24.4</v>
      </c>
      <c r="L244" s="15" t="n">
        <v>31.68</v>
      </c>
      <c r="M244" s="14" t="n">
        <v>1717.93</v>
      </c>
      <c r="N244" s="14" t="n">
        <v>1748.43</v>
      </c>
      <c r="O244" s="14" t="n">
        <v>1803</v>
      </c>
      <c r="P244" s="4">
        <f>IF(O244="","",IF(F244&gt;O244,"Above","Below"))</f>
        <v/>
      </c>
      <c r="Q244" s="16" t="n">
        <v>143933</v>
      </c>
      <c r="R244" s="17" t="n">
        <v>0</v>
      </c>
      <c r="S244" s="17" t="n">
        <v>0</v>
      </c>
      <c r="T244" s="17" t="n">
        <v>0</v>
      </c>
      <c r="U244" s="18" t="n">
        <v>0</v>
      </c>
    </row>
    <row r="245">
      <c r="A245" s="13" t="n">
        <v>44825</v>
      </c>
      <c r="B245" s="4">
        <f>TEXT(A245,"ddd")</f>
        <v/>
      </c>
      <c r="C245" s="14" t="n">
        <v>1673.2</v>
      </c>
      <c r="D245" s="14" t="n">
        <v>1696.9</v>
      </c>
      <c r="E245" s="14" t="n">
        <v>1661.3</v>
      </c>
      <c r="F245" s="14" t="n">
        <v>1675.7</v>
      </c>
      <c r="G245" s="9">
        <f>F245-F244</f>
        <v/>
      </c>
      <c r="H245" s="10">
        <f>IF(F244=0,0,G245/F244)</f>
        <v/>
      </c>
      <c r="I245" s="8">
        <f>D245-E245</f>
        <v/>
      </c>
      <c r="J245" s="4">
        <f>IF(F245&gt;C245,"Up",IF(F245&lt;C245,"Down","Flat"))</f>
        <v/>
      </c>
      <c r="K245" s="14" t="n">
        <v>25.2</v>
      </c>
      <c r="L245" s="15" t="n">
        <v>33.69</v>
      </c>
      <c r="M245" s="14" t="n">
        <v>1713.91</v>
      </c>
      <c r="N245" s="14" t="n">
        <v>1745.57</v>
      </c>
      <c r="O245" s="14" t="n">
        <v>1801.73</v>
      </c>
      <c r="P245" s="4">
        <f>IF(O245="","",IF(F245&gt;O245,"Above","Below"))</f>
        <v/>
      </c>
      <c r="Q245" s="16" t="n">
        <v>227938</v>
      </c>
      <c r="R245" s="17" t="n">
        <v>0</v>
      </c>
      <c r="S245" s="17" t="n">
        <v>0</v>
      </c>
      <c r="T245" s="17" t="n">
        <v>0</v>
      </c>
      <c r="U245" s="18" t="n">
        <v>0</v>
      </c>
    </row>
    <row r="246">
      <c r="A246" s="13" t="n">
        <v>44826</v>
      </c>
      <c r="B246" s="4">
        <f>TEXT(A246,"ddd")</f>
        <v/>
      </c>
      <c r="C246" s="14" t="n">
        <v>1682.8</v>
      </c>
      <c r="D246" s="14" t="n">
        <v>1693.5</v>
      </c>
      <c r="E246" s="14" t="n">
        <v>1663.3</v>
      </c>
      <c r="F246" s="14" t="n">
        <v>1681.1</v>
      </c>
      <c r="G246" s="9">
        <f>F246-F245</f>
        <v/>
      </c>
      <c r="H246" s="10">
        <f>IF(F245=0,0,G246/F245)</f>
        <v/>
      </c>
      <c r="I246" s="8">
        <f>D246-E246</f>
        <v/>
      </c>
      <c r="J246" s="4">
        <f>IF(F246&gt;C246,"Up",IF(F246&lt;C246,"Down","Flat"))</f>
        <v/>
      </c>
      <c r="K246" s="14" t="n">
        <v>25.56</v>
      </c>
      <c r="L246" s="15" t="n">
        <v>36.06</v>
      </c>
      <c r="M246" s="14" t="n">
        <v>1710.78</v>
      </c>
      <c r="N246" s="14" t="n">
        <v>1743.05</v>
      </c>
      <c r="O246" s="14" t="n">
        <v>1800.53</v>
      </c>
      <c r="P246" s="4">
        <f>IF(O246="","",IF(F246&gt;O246,"Above","Below"))</f>
        <v/>
      </c>
      <c r="Q246" s="16" t="n">
        <v>241279</v>
      </c>
      <c r="R246" s="17" t="n">
        <v>0</v>
      </c>
      <c r="S246" s="17" t="n">
        <v>0</v>
      </c>
      <c r="T246" s="17" t="n">
        <v>0</v>
      </c>
      <c r="U246" s="18" t="n">
        <v>0</v>
      </c>
    </row>
    <row r="247">
      <c r="A247" s="13" t="n">
        <v>44827</v>
      </c>
      <c r="B247" s="4">
        <f>TEXT(A247,"ddd")</f>
        <v/>
      </c>
      <c r="C247" s="14" t="n">
        <v>1680.1</v>
      </c>
      <c r="D247" s="14" t="n">
        <v>1685</v>
      </c>
      <c r="E247" s="14" t="n">
        <v>1646.6</v>
      </c>
      <c r="F247" s="14" t="n">
        <v>1655.6</v>
      </c>
      <c r="G247" s="9">
        <f>F247-F246</f>
        <v/>
      </c>
      <c r="H247" s="10">
        <f>IF(F246=0,0,G247/F246)</f>
        <v/>
      </c>
      <c r="I247" s="8">
        <f>D247-E247</f>
        <v/>
      </c>
      <c r="J247" s="4">
        <f>IF(F247&gt;C247,"Up",IF(F247&lt;C247,"Down","Flat"))</f>
        <v/>
      </c>
      <c r="K247" s="14" t="n">
        <v>26.47</v>
      </c>
      <c r="L247" s="15" t="n">
        <v>30.51</v>
      </c>
      <c r="M247" s="14" t="n">
        <v>1705.53</v>
      </c>
      <c r="N247" s="14" t="n">
        <v>1739.62</v>
      </c>
      <c r="O247" s="14" t="n">
        <v>1799.09</v>
      </c>
      <c r="P247" s="4">
        <f>IF(O247="","",IF(F247&gt;O247,"Above","Below"))</f>
        <v/>
      </c>
      <c r="Q247" s="16" t="n">
        <v>243045</v>
      </c>
      <c r="R247" s="17" t="n">
        <v>0</v>
      </c>
      <c r="S247" s="17" t="n">
        <v>0</v>
      </c>
      <c r="T247" s="17" t="n">
        <v>0</v>
      </c>
      <c r="U247" s="18" t="n">
        <v>0</v>
      </c>
    </row>
    <row r="248">
      <c r="A248" s="13" t="n">
        <v>44830</v>
      </c>
      <c r="B248" s="4">
        <f>TEXT(A248,"ddd")</f>
        <v/>
      </c>
      <c r="C248" s="14" t="n">
        <v>1651</v>
      </c>
      <c r="D248" s="14" t="n">
        <v>1657.2</v>
      </c>
      <c r="E248" s="14" t="n">
        <v>1627.7</v>
      </c>
      <c r="F248" s="14" t="n">
        <v>1633.4</v>
      </c>
      <c r="G248" s="9">
        <f>F248-F247</f>
        <v/>
      </c>
      <c r="H248" s="10">
        <f>IF(F247=0,0,G248/F247)</f>
        <v/>
      </c>
      <c r="I248" s="8">
        <f>D248-E248</f>
        <v/>
      </c>
      <c r="J248" s="4">
        <f>IF(F248&gt;C248,"Up",IF(F248&lt;C248,"Down","Flat"))</f>
        <v/>
      </c>
      <c r="K248" s="14" t="n">
        <v>26.69</v>
      </c>
      <c r="L248" s="15" t="n">
        <v>26.66</v>
      </c>
      <c r="M248" s="14" t="n">
        <v>1698.66</v>
      </c>
      <c r="N248" s="14" t="n">
        <v>1735.45</v>
      </c>
      <c r="O248" s="14" t="n">
        <v>1797.44</v>
      </c>
      <c r="P248" s="4">
        <f>IF(O248="","",IF(F248&gt;O248,"Above","Below"))</f>
        <v/>
      </c>
      <c r="Q248" s="16" t="n">
        <v>219861</v>
      </c>
      <c r="R248" s="17" t="n">
        <v>0</v>
      </c>
      <c r="S248" s="17" t="n">
        <v>0</v>
      </c>
      <c r="T248" s="17" t="n">
        <v>0</v>
      </c>
      <c r="U248" s="18" t="n">
        <v>0</v>
      </c>
    </row>
    <row r="249">
      <c r="A249" s="13" t="n">
        <v>44831</v>
      </c>
      <c r="B249" s="4">
        <f>TEXT(A249,"ddd")</f>
        <v/>
      </c>
      <c r="C249" s="14" t="n">
        <v>1629.2</v>
      </c>
      <c r="D249" s="14" t="n">
        <v>1650.1</v>
      </c>
      <c r="E249" s="14" t="n">
        <v>1628.7</v>
      </c>
      <c r="F249" s="14" t="n">
        <v>1636.2</v>
      </c>
      <c r="G249" s="9">
        <f>F249-F248</f>
        <v/>
      </c>
      <c r="H249" s="10">
        <f>IF(F248=0,0,G249/F248)</f>
        <v/>
      </c>
      <c r="I249" s="8">
        <f>D249-E249</f>
        <v/>
      </c>
      <c r="J249" s="4">
        <f>IF(F249&gt;C249,"Up",IF(F249&lt;C249,"Down","Flat"))</f>
        <v/>
      </c>
      <c r="K249" s="14" t="n">
        <v>26.31</v>
      </c>
      <c r="L249" s="15" t="n">
        <v>27.9</v>
      </c>
      <c r="M249" s="14" t="n">
        <v>1692.71</v>
      </c>
      <c r="N249" s="14" t="n">
        <v>1731.56</v>
      </c>
      <c r="O249" s="14" t="n">
        <v>1795.83</v>
      </c>
      <c r="P249" s="4">
        <f>IF(O249="","",IF(F249&gt;O249,"Above","Below"))</f>
        <v/>
      </c>
      <c r="Q249" s="16" t="n">
        <v>197058</v>
      </c>
      <c r="R249" s="17" t="n">
        <v>0</v>
      </c>
      <c r="S249" s="17" t="n">
        <v>0</v>
      </c>
      <c r="T249" s="17" t="n">
        <v>0</v>
      </c>
      <c r="U249" s="18" t="n">
        <v>0</v>
      </c>
    </row>
    <row r="250">
      <c r="A250" s="13" t="n">
        <v>44832</v>
      </c>
      <c r="B250" s="4">
        <f>TEXT(A250,"ddd")</f>
        <v/>
      </c>
      <c r="C250" s="14" t="n">
        <v>1636.5</v>
      </c>
      <c r="D250" s="14" t="n">
        <v>1671.6</v>
      </c>
      <c r="E250" s="14" t="n">
        <v>1622.2</v>
      </c>
      <c r="F250" s="14" t="n">
        <v>1670</v>
      </c>
      <c r="G250" s="9">
        <f>F250-F249</f>
        <v/>
      </c>
      <c r="H250" s="10">
        <f>IF(F249=0,0,G250/F249)</f>
        <v/>
      </c>
      <c r="I250" s="8">
        <f>D250-E250</f>
        <v/>
      </c>
      <c r="J250" s="4">
        <f>IF(F250&gt;C250,"Up",IF(F250&lt;C250,"Down","Flat"))</f>
        <v/>
      </c>
      <c r="K250" s="14" t="n">
        <v>27.96</v>
      </c>
      <c r="L250" s="15" t="n">
        <v>40.84</v>
      </c>
      <c r="M250" s="14" t="n">
        <v>1690.55</v>
      </c>
      <c r="N250" s="14" t="n">
        <v>1729.15</v>
      </c>
      <c r="O250" s="14" t="n">
        <v>1794.58</v>
      </c>
      <c r="P250" s="4">
        <f>IF(O250="","",IF(F250&gt;O250,"Above","Below"))</f>
        <v/>
      </c>
      <c r="Q250" s="16" t="n">
        <v>279817</v>
      </c>
      <c r="R250" s="17" t="n">
        <v>0</v>
      </c>
      <c r="S250" s="17" t="n">
        <v>0</v>
      </c>
      <c r="T250" s="17" t="n">
        <v>0</v>
      </c>
      <c r="U250" s="18" t="n">
        <v>0</v>
      </c>
    </row>
    <row r="251">
      <c r="A251" s="13" t="n">
        <v>44833</v>
      </c>
      <c r="B251" s="4">
        <f>TEXT(A251,"ddd")</f>
        <v/>
      </c>
      <c r="C251" s="14" t="n">
        <v>1669</v>
      </c>
      <c r="D251" s="14" t="n">
        <v>1673.1</v>
      </c>
      <c r="E251" s="14" t="n">
        <v>1649.3</v>
      </c>
      <c r="F251" s="14" t="n">
        <v>1668.6</v>
      </c>
      <c r="G251" s="9">
        <f>F251-F250</f>
        <v/>
      </c>
      <c r="H251" s="10">
        <f>IF(F250=0,0,G251/F250)</f>
        <v/>
      </c>
      <c r="I251" s="8">
        <f>D251-E251</f>
        <v/>
      </c>
      <c r="J251" s="4">
        <f>IF(F251&gt;C251,"Up",IF(F251&lt;C251,"Down","Flat"))</f>
        <v/>
      </c>
      <c r="K251" s="14" t="n">
        <v>27.66</v>
      </c>
      <c r="L251" s="15" t="n">
        <v>40.52</v>
      </c>
      <c r="M251" s="14" t="n">
        <v>1688.46</v>
      </c>
      <c r="N251" s="14" t="n">
        <v>1726.77</v>
      </c>
      <c r="O251" s="14" t="n">
        <v>1793.33</v>
      </c>
      <c r="P251" s="4">
        <f>IF(O251="","",IF(F251&gt;O251,"Above","Below"))</f>
        <v/>
      </c>
      <c r="Q251" s="16" t="n">
        <v>201961</v>
      </c>
      <c r="R251" s="17" t="n">
        <v>0</v>
      </c>
      <c r="S251" s="17" t="n">
        <v>0</v>
      </c>
      <c r="T251" s="17" t="n">
        <v>0</v>
      </c>
      <c r="U251" s="18" t="n">
        <v>0</v>
      </c>
    </row>
    <row r="252">
      <c r="A252" s="13" t="n">
        <v>44834</v>
      </c>
      <c r="B252" s="4">
        <f>TEXT(A252,"ddd")</f>
        <v/>
      </c>
      <c r="C252" s="14" t="n">
        <v>1669.5</v>
      </c>
      <c r="D252" s="14" t="n">
        <v>1684.4</v>
      </c>
      <c r="E252" s="14" t="n">
        <v>1667.5</v>
      </c>
      <c r="F252" s="14" t="n">
        <v>1672</v>
      </c>
      <c r="G252" s="9">
        <f>F252-F251</f>
        <v/>
      </c>
      <c r="H252" s="10">
        <f>IF(F251=0,0,G252/F251)</f>
        <v/>
      </c>
      <c r="I252" s="8">
        <f>D252-E252</f>
        <v/>
      </c>
      <c r="J252" s="4">
        <f>IF(F252&gt;C252,"Up",IF(F252&lt;C252,"Down","Flat"))</f>
        <v/>
      </c>
      <c r="K252" s="14" t="n">
        <v>26.89</v>
      </c>
      <c r="L252" s="15" t="n">
        <v>41.73</v>
      </c>
      <c r="M252" s="14" t="n">
        <v>1686.89</v>
      </c>
      <c r="N252" s="14" t="n">
        <v>1724.62</v>
      </c>
      <c r="O252" s="14" t="n">
        <v>1792.12</v>
      </c>
      <c r="P252" s="4">
        <f>IF(O252="","",IF(F252&gt;O252,"Above","Below"))</f>
        <v/>
      </c>
      <c r="Q252" s="16" t="n">
        <v>179989</v>
      </c>
      <c r="R252" s="17" t="n">
        <v>0</v>
      </c>
      <c r="S252" s="17" t="n">
        <v>0</v>
      </c>
      <c r="T252" s="17" t="n">
        <v>0</v>
      </c>
      <c r="U252" s="18" t="n">
        <v>0</v>
      </c>
    </row>
    <row r="253">
      <c r="A253" s="13" t="n">
        <v>44837</v>
      </c>
      <c r="B253" s="4">
        <f>TEXT(A253,"ddd")</f>
        <v/>
      </c>
      <c r="C253" s="14" t="n">
        <v>1670.5</v>
      </c>
      <c r="D253" s="14" t="n">
        <v>1710.4</v>
      </c>
      <c r="E253" s="14" t="n">
        <v>1666.5</v>
      </c>
      <c r="F253" s="14" t="n">
        <v>1702</v>
      </c>
      <c r="G253" s="9">
        <f>F253-F252</f>
        <v/>
      </c>
      <c r="H253" s="10">
        <f>IF(F252=0,0,G253/F252)</f>
        <v/>
      </c>
      <c r="I253" s="8">
        <f>D253-E253</f>
        <v/>
      </c>
      <c r="J253" s="4">
        <f>IF(F253&gt;C253,"Up",IF(F253&lt;C253,"Down","Flat"))</f>
        <v/>
      </c>
      <c r="K253" s="14" t="n">
        <v>28.11</v>
      </c>
      <c r="L253" s="15" t="n">
        <v>51.18</v>
      </c>
      <c r="M253" s="14" t="n">
        <v>1688.33</v>
      </c>
      <c r="N253" s="14" t="n">
        <v>1723.74</v>
      </c>
      <c r="O253" s="14" t="n">
        <v>1791.22</v>
      </c>
      <c r="P253" s="4">
        <f>IF(O253="","",IF(F253&gt;O253,"Above","Below"))</f>
        <v/>
      </c>
      <c r="Q253" s="16" t="n">
        <v>215493</v>
      </c>
      <c r="R253" s="17" t="n">
        <v>0</v>
      </c>
      <c r="S253" s="17" t="n">
        <v>0</v>
      </c>
      <c r="T253" s="17" t="n">
        <v>0</v>
      </c>
      <c r="U253" s="18" t="n">
        <v>0</v>
      </c>
    </row>
    <row r="254">
      <c r="A254" s="13" t="n">
        <v>44838</v>
      </c>
      <c r="B254" s="4">
        <f>TEXT(A254,"ddd")</f>
        <v/>
      </c>
      <c r="C254" s="14" t="n">
        <v>1708.4</v>
      </c>
      <c r="D254" s="14" t="n">
        <v>1738.7</v>
      </c>
      <c r="E254" s="14" t="n">
        <v>1704</v>
      </c>
      <c r="F254" s="14" t="n">
        <v>1730.5</v>
      </c>
      <c r="G254" s="9">
        <f>F254-F253</f>
        <v/>
      </c>
      <c r="H254" s="10">
        <f>IF(F253=0,0,G254/F253)</f>
        <v/>
      </c>
      <c r="I254" s="8">
        <f>D254-E254</f>
        <v/>
      </c>
      <c r="J254" s="4">
        <f>IF(F254&gt;C254,"Up",IF(F254&lt;C254,"Down","Flat"))</f>
        <v/>
      </c>
      <c r="K254" s="14" t="n">
        <v>28.72</v>
      </c>
      <c r="L254" s="15" t="n">
        <v>58.12</v>
      </c>
      <c r="M254" s="14" t="n">
        <v>1692.34</v>
      </c>
      <c r="N254" s="14" t="n">
        <v>1724</v>
      </c>
      <c r="O254" s="14" t="n">
        <v>1790.62</v>
      </c>
      <c r="P254" s="4">
        <f>IF(O254="","",IF(F254&gt;O254,"Above","Below"))</f>
        <v/>
      </c>
      <c r="Q254" s="16" t="n">
        <v>205084</v>
      </c>
      <c r="R254" s="17" t="n">
        <v>0</v>
      </c>
      <c r="S254" s="17" t="n">
        <v>0</v>
      </c>
      <c r="T254" s="17" t="n">
        <v>0</v>
      </c>
      <c r="U254" s="18" t="n">
        <v>0</v>
      </c>
    </row>
    <row r="255">
      <c r="A255" s="13" t="n">
        <v>44839</v>
      </c>
      <c r="B255" s="4">
        <f>TEXT(A255,"ddd")</f>
        <v/>
      </c>
      <c r="C255" s="14" t="n">
        <v>1734.4</v>
      </c>
      <c r="D255" s="14" t="n">
        <v>1736.6</v>
      </c>
      <c r="E255" s="14" t="n">
        <v>1708.8</v>
      </c>
      <c r="F255" s="14" t="n">
        <v>1720.8</v>
      </c>
      <c r="G255" s="9">
        <f>F255-F254</f>
        <v/>
      </c>
      <c r="H255" s="10">
        <f>IF(F254=0,0,G255/F254)</f>
        <v/>
      </c>
      <c r="I255" s="8">
        <f>D255-E255</f>
        <v/>
      </c>
      <c r="J255" s="4">
        <f>IF(F255&gt;C255,"Up",IF(F255&lt;C255,"Down","Flat"))</f>
        <v/>
      </c>
      <c r="K255" s="14" t="n">
        <v>28.66</v>
      </c>
      <c r="L255" s="15" t="n">
        <v>55.24</v>
      </c>
      <c r="M255" s="14" t="n">
        <v>1695.05</v>
      </c>
      <c r="N255" s="14" t="n">
        <v>1723.88</v>
      </c>
      <c r="O255" s="14" t="n">
        <v>1789.93</v>
      </c>
      <c r="P255" s="4">
        <f>IF(O255="","",IF(F255&gt;O255,"Above","Below"))</f>
        <v/>
      </c>
      <c r="Q255" s="16" t="n">
        <v>173222</v>
      </c>
      <c r="R255" s="17" t="n">
        <v>0</v>
      </c>
      <c r="S255" s="17" t="n">
        <v>0</v>
      </c>
      <c r="T255" s="17" t="n">
        <v>0</v>
      </c>
      <c r="U255" s="18" t="n">
        <v>0</v>
      </c>
    </row>
    <row r="256">
      <c r="A256" s="13" t="n">
        <v>44840</v>
      </c>
      <c r="B256" s="4">
        <f>TEXT(A256,"ddd")</f>
        <v/>
      </c>
      <c r="C256" s="14" t="n">
        <v>1725.5</v>
      </c>
      <c r="D256" s="14" t="n">
        <v>1734.2</v>
      </c>
      <c r="E256" s="14" t="n">
        <v>1714.8</v>
      </c>
      <c r="F256" s="14" t="n">
        <v>1720.8</v>
      </c>
      <c r="G256" s="9">
        <f>F256-F255</f>
        <v/>
      </c>
      <c r="H256" s="10">
        <f>IF(F255=0,0,G256/F255)</f>
        <v/>
      </c>
      <c r="I256" s="8">
        <f>D256-E256</f>
        <v/>
      </c>
      <c r="J256" s="4">
        <f>IF(F256&gt;C256,"Up",IF(F256&lt;C256,"Down","Flat"))</f>
        <v/>
      </c>
      <c r="K256" s="14" t="n">
        <v>28</v>
      </c>
      <c r="L256" s="15" t="n">
        <v>55.24</v>
      </c>
      <c r="M256" s="14" t="n">
        <v>1697.51</v>
      </c>
      <c r="N256" s="14" t="n">
        <v>1723.76</v>
      </c>
      <c r="O256" s="14" t="n">
        <v>1789.24</v>
      </c>
      <c r="P256" s="4">
        <f>IF(O256="","",IF(F256&gt;O256,"Above","Below"))</f>
        <v/>
      </c>
      <c r="Q256" s="16" t="n">
        <v>139443</v>
      </c>
      <c r="R256" s="17" t="n">
        <v>0</v>
      </c>
      <c r="S256" s="17" t="n">
        <v>0</v>
      </c>
      <c r="T256" s="17" t="n">
        <v>0</v>
      </c>
      <c r="U256" s="18" t="n">
        <v>0</v>
      </c>
    </row>
    <row r="257">
      <c r="A257" s="13" t="n">
        <v>44841</v>
      </c>
      <c r="B257" s="4">
        <f>TEXT(A257,"ddd")</f>
        <v/>
      </c>
      <c r="C257" s="14" t="n">
        <v>1721</v>
      </c>
      <c r="D257" s="14" t="n">
        <v>1722.8</v>
      </c>
      <c r="E257" s="14" t="n">
        <v>1698.4</v>
      </c>
      <c r="F257" s="14" t="n">
        <v>1709.3</v>
      </c>
      <c r="G257" s="9">
        <f>F257-F256</f>
        <v/>
      </c>
      <c r="H257" s="10">
        <f>IF(F256=0,0,G257/F256)</f>
        <v/>
      </c>
      <c r="I257" s="8">
        <f>D257-E257</f>
        <v/>
      </c>
      <c r="J257" s="4">
        <f>IF(F257&gt;C257,"Up",IF(F257&lt;C257,"Down","Flat"))</f>
        <v/>
      </c>
      <c r="K257" s="14" t="n">
        <v>27.74</v>
      </c>
      <c r="L257" s="15" t="n">
        <v>51.72</v>
      </c>
      <c r="M257" s="14" t="n">
        <v>1698.63</v>
      </c>
      <c r="N257" s="14" t="n">
        <v>1723.19</v>
      </c>
      <c r="O257" s="14" t="n">
        <v>1788.44</v>
      </c>
      <c r="P257" s="4">
        <f>IF(O257="","",IF(F257&gt;O257,"Above","Below"))</f>
        <v/>
      </c>
      <c r="Q257" s="16" t="n">
        <v>157445</v>
      </c>
      <c r="R257" s="17" t="n">
        <v>0</v>
      </c>
      <c r="S257" s="17" t="n">
        <v>0</v>
      </c>
      <c r="T257" s="17" t="n">
        <v>0</v>
      </c>
      <c r="U257" s="18" t="n">
        <v>0</v>
      </c>
    </row>
    <row r="258">
      <c r="A258" s="13" t="n">
        <v>44844</v>
      </c>
      <c r="B258" s="4">
        <f>TEXT(A258,"ddd")</f>
        <v/>
      </c>
      <c r="C258" s="14" t="n">
        <v>1703.4</v>
      </c>
      <c r="D258" s="14" t="n">
        <v>1707.4</v>
      </c>
      <c r="E258" s="14" t="n">
        <v>1672.5</v>
      </c>
      <c r="F258" s="14" t="n">
        <v>1675.2</v>
      </c>
      <c r="G258" s="9">
        <f>F258-F257</f>
        <v/>
      </c>
      <c r="H258" s="10">
        <f>IF(F257=0,0,G258/F257)</f>
        <v/>
      </c>
      <c r="I258" s="8">
        <f>D258-E258</f>
        <v/>
      </c>
      <c r="J258" s="4">
        <f>IF(F258&gt;C258,"Up",IF(F258&lt;C258,"Down","Flat"))</f>
        <v/>
      </c>
      <c r="K258" s="14" t="n">
        <v>28.39</v>
      </c>
      <c r="L258" s="15" t="n">
        <v>42.97</v>
      </c>
      <c r="M258" s="14" t="n">
        <v>1696.4</v>
      </c>
      <c r="N258" s="14" t="n">
        <v>1721.31</v>
      </c>
      <c r="O258" s="14" t="n">
        <v>1787.32</v>
      </c>
      <c r="P258" s="4">
        <f>IF(O258="","",IF(F258&gt;O258,"Above","Below"))</f>
        <v/>
      </c>
      <c r="Q258" s="16" t="n">
        <v>157149</v>
      </c>
      <c r="R258" s="17" t="n">
        <v>0</v>
      </c>
      <c r="S258" s="17" t="n">
        <v>0</v>
      </c>
      <c r="T258" s="17" t="n">
        <v>0</v>
      </c>
      <c r="U258" s="18" t="n">
        <v>0</v>
      </c>
    </row>
    <row r="259">
      <c r="A259" s="13" t="n">
        <v>44845</v>
      </c>
      <c r="B259" s="4">
        <f>TEXT(A259,"ddd")</f>
        <v/>
      </c>
      <c r="C259" s="14" t="n">
        <v>1675.6</v>
      </c>
      <c r="D259" s="14" t="n">
        <v>1691.3</v>
      </c>
      <c r="E259" s="14" t="n">
        <v>1667.5</v>
      </c>
      <c r="F259" s="14" t="n">
        <v>1686</v>
      </c>
      <c r="G259" s="9">
        <f>F259-F258</f>
        <v/>
      </c>
      <c r="H259" s="10">
        <f>IF(F258=0,0,G259/F258)</f>
        <v/>
      </c>
      <c r="I259" s="8">
        <f>D259-E259</f>
        <v/>
      </c>
      <c r="J259" s="4">
        <f>IF(F259&gt;C259,"Up",IF(F259&lt;C259,"Down","Flat"))</f>
        <v/>
      </c>
      <c r="K259" s="14" t="n">
        <v>28.06</v>
      </c>
      <c r="L259" s="15" t="n">
        <v>46.08</v>
      </c>
      <c r="M259" s="14" t="n">
        <v>1695.41</v>
      </c>
      <c r="N259" s="14" t="n">
        <v>1719.92</v>
      </c>
      <c r="O259" s="14" t="n">
        <v>1786.31</v>
      </c>
      <c r="P259" s="4">
        <f>IF(O259="","",IF(F259&gt;O259,"Above","Below"))</f>
        <v/>
      </c>
      <c r="Q259" s="16" t="n">
        <v>171814</v>
      </c>
      <c r="R259" s="17" t="n">
        <v>0</v>
      </c>
      <c r="S259" s="17" t="n">
        <v>0</v>
      </c>
      <c r="T259" s="17" t="n">
        <v>0</v>
      </c>
      <c r="U259" s="18" t="n">
        <v>0</v>
      </c>
    </row>
    <row r="260">
      <c r="A260" s="13" t="n">
        <v>44846</v>
      </c>
      <c r="B260" s="4">
        <f>TEXT(A260,"ddd")</f>
        <v/>
      </c>
      <c r="C260" s="14" t="n">
        <v>1673.4</v>
      </c>
      <c r="D260" s="14" t="n">
        <v>1685.1</v>
      </c>
      <c r="E260" s="14" t="n">
        <v>1668</v>
      </c>
      <c r="F260" s="14" t="n">
        <v>1677.5</v>
      </c>
      <c r="G260" s="9">
        <f>F260-F259</f>
        <v/>
      </c>
      <c r="H260" s="10">
        <f>IF(F259=0,0,G260/F259)</f>
        <v/>
      </c>
      <c r="I260" s="8">
        <f>D260-E260</f>
        <v/>
      </c>
      <c r="J260" s="4">
        <f>IF(F260&gt;C260,"Up",IF(F260&lt;C260,"Down","Flat"))</f>
        <v/>
      </c>
      <c r="K260" s="14" t="n">
        <v>27.34</v>
      </c>
      <c r="L260" s="15" t="n">
        <v>44.04</v>
      </c>
      <c r="M260" s="14" t="n">
        <v>1693.7</v>
      </c>
      <c r="N260" s="14" t="n">
        <v>1718.26</v>
      </c>
      <c r="O260" s="14" t="n">
        <v>1785.22</v>
      </c>
      <c r="P260" s="4">
        <f>IF(O260="","",IF(F260&gt;O260,"Above","Below"))</f>
        <v/>
      </c>
      <c r="Q260" s="16" t="n">
        <v>131769</v>
      </c>
      <c r="R260" s="17" t="n">
        <v>0</v>
      </c>
      <c r="S260" s="17" t="n">
        <v>0</v>
      </c>
      <c r="T260" s="17" t="n">
        <v>0</v>
      </c>
      <c r="U260" s="18" t="n">
        <v>0</v>
      </c>
    </row>
    <row r="261">
      <c r="A261" s="13" t="n">
        <v>44847</v>
      </c>
      <c r="B261" s="4">
        <f>TEXT(A261,"ddd")</f>
        <v/>
      </c>
      <c r="C261" s="14" t="n">
        <v>1680.2</v>
      </c>
      <c r="D261" s="14" t="n">
        <v>1688.9</v>
      </c>
      <c r="E261" s="14" t="n">
        <v>1648.3</v>
      </c>
      <c r="F261" s="14" t="n">
        <v>1677</v>
      </c>
      <c r="G261" s="9">
        <f>F261-F260</f>
        <v/>
      </c>
      <c r="H261" s="10">
        <f>IF(F260=0,0,G261/F260)</f>
        <v/>
      </c>
      <c r="I261" s="8">
        <f>D261-E261</f>
        <v/>
      </c>
      <c r="J261" s="4">
        <f>IF(F261&gt;C261,"Up",IF(F261&lt;C261,"Down","Flat"))</f>
        <v/>
      </c>
      <c r="K261" s="14" t="n">
        <v>28.29</v>
      </c>
      <c r="L261" s="15" t="n">
        <v>43.92</v>
      </c>
      <c r="M261" s="14" t="n">
        <v>1692.11</v>
      </c>
      <c r="N261" s="14" t="n">
        <v>1716.64</v>
      </c>
      <c r="O261" s="14" t="n">
        <v>1784.15</v>
      </c>
      <c r="P261" s="4">
        <f>IF(O261="","",IF(F261&gt;O261,"Above","Below"))</f>
        <v/>
      </c>
      <c r="Q261" s="16" t="n">
        <v>237007</v>
      </c>
      <c r="R261" s="17" t="n">
        <v>0</v>
      </c>
      <c r="S261" s="17" t="n">
        <v>0</v>
      </c>
      <c r="T261" s="17" t="n">
        <v>0</v>
      </c>
      <c r="U261" s="18" t="n">
        <v>0</v>
      </c>
    </row>
    <row r="262">
      <c r="A262" s="13" t="n">
        <v>44848</v>
      </c>
      <c r="B262" s="4">
        <f>TEXT(A262,"ddd")</f>
        <v/>
      </c>
      <c r="C262" s="14" t="n">
        <v>1672.8</v>
      </c>
      <c r="D262" s="14" t="n">
        <v>1677.8</v>
      </c>
      <c r="E262" s="14" t="n">
        <v>1645.6</v>
      </c>
      <c r="F262" s="14" t="n">
        <v>1648.9</v>
      </c>
      <c r="G262" s="9">
        <f>F262-F261</f>
        <v/>
      </c>
      <c r="H262" s="10">
        <f>IF(F261=0,0,G262/F261)</f>
        <v/>
      </c>
      <c r="I262" s="8">
        <f>D262-E262</f>
        <v/>
      </c>
      <c r="J262" s="4">
        <f>IF(F262&gt;C262,"Up",IF(F262&lt;C262,"Down","Flat"))</f>
        <v/>
      </c>
      <c r="K262" s="14" t="n">
        <v>28.57</v>
      </c>
      <c r="L262" s="15" t="n">
        <v>37.57</v>
      </c>
      <c r="M262" s="14" t="n">
        <v>1688</v>
      </c>
      <c r="N262" s="14" t="n">
        <v>1713.98</v>
      </c>
      <c r="O262" s="14" t="n">
        <v>1782.8</v>
      </c>
      <c r="P262" s="4">
        <f>IF(O262="","",IF(F262&gt;O262,"Above","Below"))</f>
        <v/>
      </c>
      <c r="Q262" s="16" t="n">
        <v>183170</v>
      </c>
      <c r="R262" s="17" t="n">
        <v>0</v>
      </c>
      <c r="S262" s="17" t="n">
        <v>0</v>
      </c>
      <c r="T262" s="17" t="n">
        <v>0</v>
      </c>
      <c r="U262" s="18" t="n">
        <v>0</v>
      </c>
    </row>
    <row r="263">
      <c r="A263" s="13" t="n">
        <v>44851</v>
      </c>
      <c r="B263" s="4">
        <f>TEXT(A263,"ddd")</f>
        <v/>
      </c>
      <c r="C263" s="14" t="n">
        <v>1649.9</v>
      </c>
      <c r="D263" s="14" t="n">
        <v>1674.3</v>
      </c>
      <c r="E263" s="14" t="n">
        <v>1649.1</v>
      </c>
      <c r="F263" s="14" t="n">
        <v>1664</v>
      </c>
      <c r="G263" s="9">
        <f>F263-F262</f>
        <v/>
      </c>
      <c r="H263" s="10">
        <f>IF(F262=0,0,G263/F262)</f>
        <v/>
      </c>
      <c r="I263" s="8">
        <f>D263-E263</f>
        <v/>
      </c>
      <c r="J263" s="4">
        <f>IF(F263&gt;C263,"Up",IF(F263&lt;C263,"Down","Flat"))</f>
        <v/>
      </c>
      <c r="K263" s="14" t="n">
        <v>28.34</v>
      </c>
      <c r="L263" s="15" t="n">
        <v>42.39</v>
      </c>
      <c r="M263" s="14" t="n">
        <v>1685.71</v>
      </c>
      <c r="N263" s="14" t="n">
        <v>1712.02</v>
      </c>
      <c r="O263" s="14" t="n">
        <v>1781.62</v>
      </c>
      <c r="P263" s="4">
        <f>IF(O263="","",IF(F263&gt;O263,"Above","Below"))</f>
        <v/>
      </c>
      <c r="Q263" s="16" t="n">
        <v>148889</v>
      </c>
      <c r="R263" s="17" t="n">
        <v>0</v>
      </c>
      <c r="S263" s="17" t="n">
        <v>0</v>
      </c>
      <c r="T263" s="17" t="n">
        <v>0</v>
      </c>
      <c r="U263" s="18" t="n">
        <v>0</v>
      </c>
    </row>
    <row r="264">
      <c r="A264" s="13" t="n">
        <v>44852</v>
      </c>
      <c r="B264" s="4">
        <f>TEXT(A264,"ddd")</f>
        <v/>
      </c>
      <c r="C264" s="14" t="n">
        <v>1655.9</v>
      </c>
      <c r="D264" s="14" t="n">
        <v>1666</v>
      </c>
      <c r="E264" s="14" t="n">
        <v>1650.6</v>
      </c>
      <c r="F264" s="14" t="n">
        <v>1655.8</v>
      </c>
      <c r="G264" s="9">
        <f>F264-F263</f>
        <v/>
      </c>
      <c r="H264" s="10">
        <f>IF(F263=0,0,G264/F263)</f>
        <v/>
      </c>
      <c r="I264" s="8">
        <f>D264-E264</f>
        <v/>
      </c>
      <c r="J264" s="4">
        <f>IF(F264&gt;C264,"Up",IF(F264&lt;C264,"Down","Flat"))</f>
        <v/>
      </c>
      <c r="K264" s="14" t="n">
        <v>27.42</v>
      </c>
      <c r="L264" s="15" t="n">
        <v>40.56</v>
      </c>
      <c r="M264" s="14" t="n">
        <v>1682.86</v>
      </c>
      <c r="N264" s="14" t="n">
        <v>1709.82</v>
      </c>
      <c r="O264" s="14" t="n">
        <v>1780.37</v>
      </c>
      <c r="P264" s="4">
        <f>IF(O264="","",IF(F264&gt;O264,"Above","Below"))</f>
        <v/>
      </c>
      <c r="Q264" s="16" t="n">
        <v>163168</v>
      </c>
      <c r="R264" s="17" t="n">
        <v>0</v>
      </c>
      <c r="S264" s="17" t="n">
        <v>0</v>
      </c>
      <c r="T264" s="17" t="n">
        <v>0</v>
      </c>
      <c r="U264" s="18" t="n">
        <v>0</v>
      </c>
    </row>
    <row r="265">
      <c r="A265" s="13" t="n">
        <v>44853</v>
      </c>
      <c r="B265" s="4">
        <f>TEXT(A265,"ddd")</f>
        <v/>
      </c>
      <c r="C265" s="14" t="n">
        <v>1657.2</v>
      </c>
      <c r="D265" s="14" t="n">
        <v>1659.8</v>
      </c>
      <c r="E265" s="14" t="n">
        <v>1632.2</v>
      </c>
      <c r="F265" s="14" t="n">
        <v>1634.2</v>
      </c>
      <c r="G265" s="9">
        <f>F265-F264</f>
        <v/>
      </c>
      <c r="H265" s="10">
        <f>IF(F264=0,0,G265/F264)</f>
        <v/>
      </c>
      <c r="I265" s="8">
        <f>D265-E265</f>
        <v/>
      </c>
      <c r="J265" s="4">
        <f>IF(F265&gt;C265,"Up",IF(F265&lt;C265,"Down","Flat"))</f>
        <v/>
      </c>
      <c r="K265" s="14" t="n">
        <v>27.43</v>
      </c>
      <c r="L265" s="15" t="n">
        <v>36.13</v>
      </c>
      <c r="M265" s="14" t="n">
        <v>1678.23</v>
      </c>
      <c r="N265" s="14" t="n">
        <v>1706.85</v>
      </c>
      <c r="O265" s="14" t="n">
        <v>1778.91</v>
      </c>
      <c r="P265" s="4">
        <f>IF(O265="","",IF(F265&gt;O265,"Above","Below"))</f>
        <v/>
      </c>
      <c r="Q265" s="16" t="n">
        <v>179246</v>
      </c>
      <c r="R265" s="17" t="n">
        <v>0</v>
      </c>
      <c r="S265" s="17" t="n">
        <v>0</v>
      </c>
      <c r="T265" s="17" t="n">
        <v>0</v>
      </c>
      <c r="U265" s="18" t="n">
        <v>0</v>
      </c>
    </row>
    <row r="266">
      <c r="A266" s="13" t="n">
        <v>44854</v>
      </c>
      <c r="B266" s="4">
        <f>TEXT(A266,"ddd")</f>
        <v/>
      </c>
      <c r="C266" s="14" t="n">
        <v>1634.6</v>
      </c>
      <c r="D266" s="14" t="n">
        <v>1650.3</v>
      </c>
      <c r="E266" s="14" t="n">
        <v>1626.3</v>
      </c>
      <c r="F266" s="14" t="n">
        <v>1636.8</v>
      </c>
      <c r="G266" s="9">
        <f>F266-F265</f>
        <v/>
      </c>
      <c r="H266" s="10">
        <f>IF(F265=0,0,G266/F265)</f>
        <v/>
      </c>
      <c r="I266" s="8">
        <f>D266-E266</f>
        <v/>
      </c>
      <c r="J266" s="4">
        <f>IF(F266&gt;C266,"Up",IF(F266&lt;C266,"Down","Flat"))</f>
        <v/>
      </c>
      <c r="K266" s="14" t="n">
        <v>27.18</v>
      </c>
      <c r="L266" s="15" t="n">
        <v>37.02</v>
      </c>
      <c r="M266" s="14" t="n">
        <v>1674.28</v>
      </c>
      <c r="N266" s="14" t="n">
        <v>1704.11</v>
      </c>
      <c r="O266" s="14" t="n">
        <v>1777.5</v>
      </c>
      <c r="P266" s="4">
        <f>IF(O266="","",IF(F266&gt;O266,"Above","Below"))</f>
        <v/>
      </c>
      <c r="Q266" s="16" t="n">
        <v>163734</v>
      </c>
      <c r="R266" s="17" t="n">
        <v>0</v>
      </c>
      <c r="S266" s="17" t="n">
        <v>0</v>
      </c>
      <c r="T266" s="17" t="n">
        <v>0</v>
      </c>
      <c r="U266" s="18" t="n">
        <v>0</v>
      </c>
    </row>
    <row r="267">
      <c r="A267" s="13" t="n">
        <v>44855</v>
      </c>
      <c r="B267" s="4">
        <f>TEXT(A267,"ddd")</f>
        <v/>
      </c>
      <c r="C267" s="14" t="n">
        <v>1632.4</v>
      </c>
      <c r="D267" s="14" t="n">
        <v>1663.1</v>
      </c>
      <c r="E267" s="14" t="n">
        <v>1621.1</v>
      </c>
      <c r="F267" s="14" t="n">
        <v>1656.3</v>
      </c>
      <c r="G267" s="9">
        <f>F267-F266</f>
        <v/>
      </c>
      <c r="H267" s="10">
        <f>IF(F266=0,0,G267/F266)</f>
        <v/>
      </c>
      <c r="I267" s="8">
        <f>D267-E267</f>
        <v/>
      </c>
      <c r="J267" s="4">
        <f>IF(F267&gt;C267,"Up",IF(F267&lt;C267,"Down","Flat"))</f>
        <v/>
      </c>
      <c r="K267" s="14" t="n">
        <v>28.24</v>
      </c>
      <c r="L267" s="15" t="n">
        <v>43.4</v>
      </c>
      <c r="M267" s="14" t="n">
        <v>1672.57</v>
      </c>
      <c r="N267" s="14" t="n">
        <v>1702.23</v>
      </c>
      <c r="O267" s="14" t="n">
        <v>1776.29</v>
      </c>
      <c r="P267" s="4">
        <f>IF(O267="","",IF(F267&gt;O267,"Above","Below"))</f>
        <v/>
      </c>
      <c r="Q267" s="16" t="n">
        <v>271095</v>
      </c>
      <c r="R267" s="17" t="n">
        <v>0</v>
      </c>
      <c r="S267" s="17" t="n">
        <v>0</v>
      </c>
      <c r="T267" s="17" t="n">
        <v>0</v>
      </c>
      <c r="U267" s="18" t="n">
        <v>0</v>
      </c>
    </row>
    <row r="268">
      <c r="A268" s="13" t="n">
        <v>44858</v>
      </c>
      <c r="B268" s="4">
        <f>TEXT(A268,"ddd")</f>
        <v/>
      </c>
      <c r="C268" s="14" t="n">
        <v>1662.9</v>
      </c>
      <c r="D268" s="14" t="n">
        <v>1675.5</v>
      </c>
      <c r="E268" s="14" t="n">
        <v>1648</v>
      </c>
      <c r="F268" s="14" t="n">
        <v>1654.1</v>
      </c>
      <c r="G268" s="9">
        <f>F268-F267</f>
        <v/>
      </c>
      <c r="H268" s="10">
        <f>IF(F267=0,0,G268/F267)</f>
        <v/>
      </c>
      <c r="I268" s="8">
        <f>D268-E268</f>
        <v/>
      </c>
      <c r="J268" s="4">
        <f>IF(F268&gt;C268,"Up",IF(F268&lt;C268,"Down","Flat"))</f>
        <v/>
      </c>
      <c r="K268" s="14" t="n">
        <v>28.19</v>
      </c>
      <c r="L268" s="15" t="n">
        <v>42.87</v>
      </c>
      <c r="M268" s="14" t="n">
        <v>1670.81</v>
      </c>
      <c r="N268" s="14" t="n">
        <v>1700.34</v>
      </c>
      <c r="O268" s="14" t="n">
        <v>1775.08</v>
      </c>
      <c r="P268" s="4">
        <f>IF(O268="","",IF(F268&gt;O268,"Above","Below"))</f>
        <v/>
      </c>
      <c r="Q268" s="16" t="n">
        <v>171022</v>
      </c>
      <c r="R268" s="17" t="n">
        <v>0</v>
      </c>
      <c r="S268" s="17" t="n">
        <v>0</v>
      </c>
      <c r="T268" s="17" t="n">
        <v>0</v>
      </c>
      <c r="U268" s="18" t="n">
        <v>0</v>
      </c>
    </row>
    <row r="269">
      <c r="A269" s="13" t="n">
        <v>44859</v>
      </c>
      <c r="B269" s="4">
        <f>TEXT(A269,"ddd")</f>
        <v/>
      </c>
      <c r="C269" s="14" t="n">
        <v>1654.5</v>
      </c>
      <c r="D269" s="14" t="n">
        <v>1666.8</v>
      </c>
      <c r="E269" s="14" t="n">
        <v>1641.2</v>
      </c>
      <c r="F269" s="14" t="n">
        <v>1658</v>
      </c>
      <c r="G269" s="9">
        <f>F269-F268</f>
        <v/>
      </c>
      <c r="H269" s="10">
        <f>IF(F268=0,0,G269/F268)</f>
        <v/>
      </c>
      <c r="I269" s="8">
        <f>D269-E269</f>
        <v/>
      </c>
      <c r="J269" s="4">
        <f>IF(F269&gt;C269,"Up",IF(F269&lt;C269,"Down","Flat"))</f>
        <v/>
      </c>
      <c r="K269" s="14" t="n">
        <v>28</v>
      </c>
      <c r="L269" s="15" t="n">
        <v>44.17</v>
      </c>
      <c r="M269" s="14" t="n">
        <v>1669.59</v>
      </c>
      <c r="N269" s="14" t="n">
        <v>1698.68</v>
      </c>
      <c r="O269" s="14" t="n">
        <v>1773.91</v>
      </c>
      <c r="P269" s="4">
        <f>IF(O269="","",IF(F269&gt;O269,"Above","Below"))</f>
        <v/>
      </c>
      <c r="Q269" s="16" t="n">
        <v>182795</v>
      </c>
      <c r="R269" s="17" t="n">
        <v>0</v>
      </c>
      <c r="S269" s="17" t="n">
        <v>0</v>
      </c>
      <c r="T269" s="17" t="n">
        <v>0</v>
      </c>
      <c r="U269" s="18" t="n">
        <v>0</v>
      </c>
    </row>
    <row r="270">
      <c r="A270" s="13" t="n">
        <v>44860</v>
      </c>
      <c r="B270" s="4">
        <f>TEXT(A270,"ddd")</f>
        <v/>
      </c>
      <c r="C270" s="14" t="n">
        <v>1657.7</v>
      </c>
      <c r="D270" s="14" t="n">
        <v>1679.4</v>
      </c>
      <c r="E270" s="14" t="n">
        <v>1653.8</v>
      </c>
      <c r="F270" s="14" t="n">
        <v>1669.2</v>
      </c>
      <c r="G270" s="9">
        <f>F270-F269</f>
        <v/>
      </c>
      <c r="H270" s="10">
        <f>IF(F269=0,0,G270/F269)</f>
        <v/>
      </c>
      <c r="I270" s="8">
        <f>D270-E270</f>
        <v/>
      </c>
      <c r="J270" s="4">
        <f>IF(F270&gt;C270,"Up",IF(F270&lt;C270,"Down","Flat"))</f>
        <v/>
      </c>
      <c r="K270" s="14" t="n">
        <v>27.83</v>
      </c>
      <c r="L270" s="15" t="n">
        <v>47.83</v>
      </c>
      <c r="M270" s="14" t="n">
        <v>1669.55</v>
      </c>
      <c r="N270" s="14" t="n">
        <v>1697.53</v>
      </c>
      <c r="O270" s="14" t="n">
        <v>1772.87</v>
      </c>
      <c r="P270" s="4">
        <f>IF(O270="","",IF(F270&gt;O270,"Above","Below"))</f>
        <v/>
      </c>
      <c r="Q270" s="16" t="n">
        <v>186926</v>
      </c>
      <c r="R270" s="17" t="n">
        <v>0</v>
      </c>
      <c r="S270" s="17" t="n">
        <v>0</v>
      </c>
      <c r="T270" s="17" t="n">
        <v>0</v>
      </c>
      <c r="U270" s="18" t="n">
        <v>0</v>
      </c>
    </row>
    <row r="271">
      <c r="A271" s="13" t="n">
        <v>44861</v>
      </c>
      <c r="B271" s="4">
        <f>TEXT(A271,"ddd")</f>
        <v/>
      </c>
      <c r="C271" s="14" t="n">
        <v>1668.8</v>
      </c>
      <c r="D271" s="14" t="n">
        <v>1674.8</v>
      </c>
      <c r="E271" s="14" t="n">
        <v>1658.5</v>
      </c>
      <c r="F271" s="14" t="n">
        <v>1665.6</v>
      </c>
      <c r="G271" s="9">
        <f>F271-F270</f>
        <v/>
      </c>
      <c r="H271" s="10">
        <f>IF(F270=0,0,G271/F270)</f>
        <v/>
      </c>
      <c r="I271" s="8">
        <f>D271-E271</f>
        <v/>
      </c>
      <c r="J271" s="4">
        <f>IF(F271&gt;C271,"Up",IF(F271&lt;C271,"Down","Flat"))</f>
        <v/>
      </c>
      <c r="K271" s="14" t="n">
        <v>27.01</v>
      </c>
      <c r="L271" s="15" t="n">
        <v>46.77</v>
      </c>
      <c r="M271" s="14" t="n">
        <v>1669.18</v>
      </c>
      <c r="N271" s="14" t="n">
        <v>1696.28</v>
      </c>
      <c r="O271" s="14" t="n">
        <v>1771.8</v>
      </c>
      <c r="P271" s="4">
        <f>IF(O271="","",IF(F271&gt;O271,"Above","Below"))</f>
        <v/>
      </c>
      <c r="Q271" s="16" t="n">
        <v>189287</v>
      </c>
      <c r="R271" s="17" t="n">
        <v>0</v>
      </c>
      <c r="S271" s="17" t="n">
        <v>0</v>
      </c>
      <c r="T271" s="17" t="n">
        <v>0</v>
      </c>
      <c r="U271" s="18" t="n">
        <v>0</v>
      </c>
    </row>
    <row r="272">
      <c r="A272" s="13" t="n">
        <v>44862</v>
      </c>
      <c r="B272" s="4">
        <f>TEXT(A272,"ddd")</f>
        <v/>
      </c>
      <c r="C272" s="14" t="n">
        <v>1667.2</v>
      </c>
      <c r="D272" s="14" t="n">
        <v>1670.9</v>
      </c>
      <c r="E272" s="14" t="n">
        <v>1640.7</v>
      </c>
      <c r="F272" s="14" t="n">
        <v>1644.8</v>
      </c>
      <c r="G272" s="9">
        <f>F272-F271</f>
        <v/>
      </c>
      <c r="H272" s="10">
        <f>IF(F271=0,0,G272/F271)</f>
        <v/>
      </c>
      <c r="I272" s="8">
        <f>D272-E272</f>
        <v/>
      </c>
      <c r="J272" s="4">
        <f>IF(F272&gt;C272,"Up",IF(F272&lt;C272,"Down","Flat"))</f>
        <v/>
      </c>
      <c r="K272" s="14" t="n">
        <v>27.24</v>
      </c>
      <c r="L272" s="15" t="n">
        <v>41.09</v>
      </c>
      <c r="M272" s="14" t="n">
        <v>1666.86</v>
      </c>
      <c r="N272" s="14" t="n">
        <v>1694.26</v>
      </c>
      <c r="O272" s="14" t="n">
        <v>1770.54</v>
      </c>
      <c r="P272" s="4">
        <f>IF(O272="","",IF(F272&gt;O272,"Above","Below"))</f>
        <v/>
      </c>
      <c r="Q272" s="16" t="n">
        <v>196363</v>
      </c>
      <c r="R272" s="17" t="n">
        <v>0</v>
      </c>
      <c r="S272" s="17" t="n">
        <v>0</v>
      </c>
      <c r="T272" s="17" t="n">
        <v>0</v>
      </c>
      <c r="U272" s="18" t="n">
        <v>0</v>
      </c>
    </row>
    <row r="273">
      <c r="A273" s="13" t="n">
        <v>44865</v>
      </c>
      <c r="B273" s="4">
        <f>TEXT(A273,"ddd")</f>
        <v/>
      </c>
      <c r="C273" s="14" t="n">
        <v>1647.2</v>
      </c>
      <c r="D273" s="14" t="n">
        <v>1648.5</v>
      </c>
      <c r="E273" s="14" t="n">
        <v>1634.5</v>
      </c>
      <c r="F273" s="14" t="n">
        <v>1640.7</v>
      </c>
      <c r="G273" s="9">
        <f>F273-F272</f>
        <v/>
      </c>
      <c r="H273" s="10">
        <f>IF(F272=0,0,G273/F272)</f>
        <v/>
      </c>
      <c r="I273" s="8">
        <f>D273-E273</f>
        <v/>
      </c>
      <c r="J273" s="4">
        <f>IF(F273&gt;C273,"Up",IF(F273&lt;C273,"Down","Flat"))</f>
        <v/>
      </c>
      <c r="K273" s="14" t="n">
        <v>26.29</v>
      </c>
      <c r="L273" s="15" t="n">
        <v>40.06</v>
      </c>
      <c r="M273" s="14" t="n">
        <v>1664.36</v>
      </c>
      <c r="N273" s="14" t="n">
        <v>1692.16</v>
      </c>
      <c r="O273" s="14" t="n">
        <v>1769.25</v>
      </c>
      <c r="P273" s="4">
        <f>IF(O273="","",IF(F273&gt;O273,"Above","Below"))</f>
        <v/>
      </c>
      <c r="Q273" s="16" t="n">
        <v>128413</v>
      </c>
      <c r="R273" s="17" t="n">
        <v>0</v>
      </c>
      <c r="S273" s="17" t="n">
        <v>0</v>
      </c>
      <c r="T273" s="17" t="n">
        <v>0</v>
      </c>
      <c r="U273" s="18" t="n">
        <v>0</v>
      </c>
    </row>
    <row r="274">
      <c r="A274" s="13" t="n">
        <v>44866</v>
      </c>
      <c r="B274" s="4">
        <f>TEXT(A274,"ddd")</f>
        <v/>
      </c>
      <c r="C274" s="14" t="n">
        <v>1636.1</v>
      </c>
      <c r="D274" s="14" t="n">
        <v>1660.3</v>
      </c>
      <c r="E274" s="14" t="n">
        <v>1633.6</v>
      </c>
      <c r="F274" s="14" t="n">
        <v>1649.7</v>
      </c>
      <c r="G274" s="9">
        <f>F274-F273</f>
        <v/>
      </c>
      <c r="H274" s="10">
        <f>IF(F273=0,0,G274/F273)</f>
        <v/>
      </c>
      <c r="I274" s="8">
        <f>D274-E274</f>
        <v/>
      </c>
      <c r="J274" s="4">
        <f>IF(F274&gt;C274,"Up",IF(F274&lt;C274,"Down","Flat"))</f>
        <v/>
      </c>
      <c r="K274" s="14" t="n">
        <v>26.32</v>
      </c>
      <c r="L274" s="15" t="n">
        <v>43.42</v>
      </c>
      <c r="M274" s="14" t="n">
        <v>1662.97</v>
      </c>
      <c r="N274" s="14" t="n">
        <v>1690.49</v>
      </c>
      <c r="O274" s="14" t="n">
        <v>1768.06</v>
      </c>
      <c r="P274" s="4">
        <f>IF(O274="","",IF(F274&gt;O274,"Above","Below"))</f>
        <v/>
      </c>
      <c r="Q274" s="16" t="n">
        <v>197976</v>
      </c>
      <c r="R274" s="17" t="n">
        <v>0</v>
      </c>
      <c r="S274" s="17" t="n">
        <v>0</v>
      </c>
      <c r="T274" s="17" t="n">
        <v>0</v>
      </c>
      <c r="U274" s="18" t="n">
        <v>0</v>
      </c>
    </row>
    <row r="275">
      <c r="A275" s="13" t="n">
        <v>44867</v>
      </c>
      <c r="B275" s="4">
        <f>TEXT(A275,"ddd")</f>
        <v/>
      </c>
      <c r="C275" s="14" t="n">
        <v>1651.4</v>
      </c>
      <c r="D275" s="14" t="n">
        <v>1673.1</v>
      </c>
      <c r="E275" s="14" t="n">
        <v>1637.4</v>
      </c>
      <c r="F275" s="14" t="n">
        <v>1650</v>
      </c>
      <c r="G275" s="9">
        <f>F275-F274</f>
        <v/>
      </c>
      <c r="H275" s="10">
        <f>IF(F274=0,0,G275/F274)</f>
        <v/>
      </c>
      <c r="I275" s="8">
        <f>D275-E275</f>
        <v/>
      </c>
      <c r="J275" s="4">
        <f>IF(F275&gt;C275,"Up",IF(F275&lt;C275,"Down","Flat"))</f>
        <v/>
      </c>
      <c r="K275" s="14" t="n">
        <v>26.99</v>
      </c>
      <c r="L275" s="15" t="n">
        <v>43.53</v>
      </c>
      <c r="M275" s="14" t="n">
        <v>1661.73</v>
      </c>
      <c r="N275" s="14" t="n">
        <v>1688.9</v>
      </c>
      <c r="O275" s="14" t="n">
        <v>1766.88</v>
      </c>
      <c r="P275" s="4">
        <f>IF(O275="","",IF(F275&gt;O275,"Above","Below"))</f>
        <v/>
      </c>
      <c r="Q275" s="16" t="n">
        <v>220926</v>
      </c>
      <c r="R275" s="17" t="n">
        <v>0</v>
      </c>
      <c r="S275" s="17" t="n">
        <v>0</v>
      </c>
      <c r="T275" s="17" t="n">
        <v>0</v>
      </c>
      <c r="U275" s="18" t="n">
        <v>0</v>
      </c>
    </row>
    <row r="276">
      <c r="A276" s="13" t="n">
        <v>44868</v>
      </c>
      <c r="B276" s="4">
        <f>TEXT(A276,"ddd")</f>
        <v/>
      </c>
      <c r="C276" s="14" t="n">
        <v>1639.1</v>
      </c>
      <c r="D276" s="14" t="n">
        <v>1643.2</v>
      </c>
      <c r="E276" s="14" t="n">
        <v>1618.3</v>
      </c>
      <c r="F276" s="14" t="n">
        <v>1630.9</v>
      </c>
      <c r="G276" s="9">
        <f>F276-F275</f>
        <v/>
      </c>
      <c r="H276" s="10">
        <f>IF(F275=0,0,G276/F275)</f>
        <v/>
      </c>
      <c r="I276" s="8">
        <f>D276-E276</f>
        <v/>
      </c>
      <c r="J276" s="4">
        <f>IF(F276&gt;C276,"Up",IF(F276&lt;C276,"Down","Flat"))</f>
        <v/>
      </c>
      <c r="K276" s="14" t="n">
        <v>27.33</v>
      </c>
      <c r="L276" s="15" t="n">
        <v>38.27</v>
      </c>
      <c r="M276" s="14" t="n">
        <v>1658.8</v>
      </c>
      <c r="N276" s="14" t="n">
        <v>1686.63</v>
      </c>
      <c r="O276" s="14" t="n">
        <v>1765.53</v>
      </c>
      <c r="P276" s="4">
        <f>IF(O276="","",IF(F276&gt;O276,"Above","Below"))</f>
        <v/>
      </c>
      <c r="Q276" s="16" t="n">
        <v>254699</v>
      </c>
      <c r="R276" s="17" t="n">
        <v>0</v>
      </c>
      <c r="S276" s="17" t="n">
        <v>0</v>
      </c>
      <c r="T276" s="17" t="n">
        <v>0</v>
      </c>
      <c r="U276" s="18" t="n">
        <v>0</v>
      </c>
    </row>
    <row r="277">
      <c r="A277" s="13" t="n">
        <v>44869</v>
      </c>
      <c r="B277" s="4">
        <f>TEXT(A277,"ddd")</f>
        <v/>
      </c>
      <c r="C277" s="14" t="n">
        <v>1631.7</v>
      </c>
      <c r="D277" s="14" t="n">
        <v>1686.4</v>
      </c>
      <c r="E277" s="14" t="n">
        <v>1631.1</v>
      </c>
      <c r="F277" s="14" t="n">
        <v>1676.6</v>
      </c>
      <c r="G277" s="9">
        <f>F277-F276</f>
        <v/>
      </c>
      <c r="H277" s="10">
        <f>IF(F276=0,0,G277/F276)</f>
        <v/>
      </c>
      <c r="I277" s="8">
        <f>D277-E277</f>
        <v/>
      </c>
      <c r="J277" s="4">
        <f>IF(F277&gt;C277,"Up",IF(F277&lt;C277,"Down","Flat"))</f>
        <v/>
      </c>
      <c r="K277" s="14" t="n">
        <v>29.34</v>
      </c>
      <c r="L277" s="15" t="n">
        <v>52.94</v>
      </c>
      <c r="M277" s="14" t="n">
        <v>1660.49</v>
      </c>
      <c r="N277" s="14" t="n">
        <v>1686.24</v>
      </c>
      <c r="O277" s="14" t="n">
        <v>1764.65</v>
      </c>
      <c r="P277" s="4">
        <f>IF(O277="","",IF(F277&gt;O277,"Above","Below"))</f>
        <v/>
      </c>
      <c r="Q277" s="16" t="n">
        <v>293521</v>
      </c>
      <c r="R277" s="17" t="n">
        <v>0</v>
      </c>
      <c r="S277" s="17" t="n">
        <v>0</v>
      </c>
      <c r="T277" s="17" t="n">
        <v>0</v>
      </c>
      <c r="U277" s="18" t="n">
        <v>0</v>
      </c>
    </row>
    <row r="278">
      <c r="A278" s="13" t="n">
        <v>44872</v>
      </c>
      <c r="B278" s="4">
        <f>TEXT(A278,"ddd")</f>
        <v/>
      </c>
      <c r="C278" s="14" t="n">
        <v>1678.6</v>
      </c>
      <c r="D278" s="14" t="n">
        <v>1685.6</v>
      </c>
      <c r="E278" s="14" t="n">
        <v>1670</v>
      </c>
      <c r="F278" s="14" t="n">
        <v>1680.5</v>
      </c>
      <c r="G278" s="9">
        <f>F278-F277</f>
        <v/>
      </c>
      <c r="H278" s="10">
        <f>IF(F277=0,0,G278/F277)</f>
        <v/>
      </c>
      <c r="I278" s="8">
        <f>D278-E278</f>
        <v/>
      </c>
      <c r="J278" s="4">
        <f>IF(F278&gt;C278,"Up",IF(F278&lt;C278,"Down","Flat"))</f>
        <v/>
      </c>
      <c r="K278" s="14" t="n">
        <v>28.36</v>
      </c>
      <c r="L278" s="15" t="n">
        <v>53.94</v>
      </c>
      <c r="M278" s="14" t="n">
        <v>1662.4</v>
      </c>
      <c r="N278" s="14" t="n">
        <v>1686.01</v>
      </c>
      <c r="O278" s="14" t="n">
        <v>1763.81</v>
      </c>
      <c r="P278" s="4">
        <f>IF(O278="","",IF(F278&gt;O278,"Above","Below"))</f>
        <v/>
      </c>
      <c r="Q278" s="16" t="n">
        <v>187589</v>
      </c>
      <c r="R278" s="17" t="n">
        <v>0</v>
      </c>
      <c r="S278" s="17" t="n">
        <v>0</v>
      </c>
      <c r="T278" s="17" t="n">
        <v>0</v>
      </c>
      <c r="U278" s="18" t="n">
        <v>0</v>
      </c>
    </row>
    <row r="279">
      <c r="A279" s="13" t="n">
        <v>44873</v>
      </c>
      <c r="B279" s="4">
        <f>TEXT(A279,"ddd")</f>
        <v/>
      </c>
      <c r="C279" s="14" t="n">
        <v>1678</v>
      </c>
      <c r="D279" s="14" t="n">
        <v>1720.4</v>
      </c>
      <c r="E279" s="14" t="n">
        <v>1667.1</v>
      </c>
      <c r="F279" s="14" t="n">
        <v>1716</v>
      </c>
      <c r="G279" s="9">
        <f>F279-F278</f>
        <v/>
      </c>
      <c r="H279" s="10">
        <f>IF(F278=0,0,G279/F278)</f>
        <v/>
      </c>
      <c r="I279" s="8">
        <f>D279-E279</f>
        <v/>
      </c>
      <c r="J279" s="4">
        <f>IF(F279&gt;C279,"Up",IF(F279&lt;C279,"Down","Flat"))</f>
        <v/>
      </c>
      <c r="K279" s="14" t="n">
        <v>30.14</v>
      </c>
      <c r="L279" s="15" t="n">
        <v>61.92</v>
      </c>
      <c r="M279" s="14" t="n">
        <v>1667.5</v>
      </c>
      <c r="N279" s="14" t="n">
        <v>1687.19</v>
      </c>
      <c r="O279" s="14" t="n">
        <v>1763.33</v>
      </c>
      <c r="P279" s="4">
        <f>IF(O279="","",IF(F279&gt;O279,"Above","Below"))</f>
        <v/>
      </c>
      <c r="Q279" s="16" t="n">
        <v>297618</v>
      </c>
      <c r="R279" s="17" t="n">
        <v>0</v>
      </c>
      <c r="S279" s="17" t="n">
        <v>0</v>
      </c>
      <c r="T279" s="17" t="n">
        <v>0</v>
      </c>
      <c r="U279" s="18" t="n">
        <v>0</v>
      </c>
    </row>
    <row r="280">
      <c r="A280" s="13" t="n">
        <v>44874</v>
      </c>
      <c r="B280" s="4">
        <f>TEXT(A280,"ddd")</f>
        <v/>
      </c>
      <c r="C280" s="14" t="n">
        <v>1715.2</v>
      </c>
      <c r="D280" s="14" t="n">
        <v>1725.8</v>
      </c>
      <c r="E280" s="14" t="n">
        <v>1705.1</v>
      </c>
      <c r="F280" s="14" t="n">
        <v>1713.7</v>
      </c>
      <c r="G280" s="9">
        <f>F280-F279</f>
        <v/>
      </c>
      <c r="H280" s="10">
        <f>IF(F279=0,0,G280/F279)</f>
        <v/>
      </c>
      <c r="I280" s="8">
        <f>D280-E280</f>
        <v/>
      </c>
      <c r="J280" s="4">
        <f>IF(F280&gt;C280,"Up",IF(F280&lt;C280,"Down","Flat"))</f>
        <v/>
      </c>
      <c r="K280" s="14" t="n">
        <v>29.47</v>
      </c>
      <c r="L280" s="15" t="n">
        <v>61.18</v>
      </c>
      <c r="M280" s="14" t="n">
        <v>1671.9</v>
      </c>
      <c r="N280" s="14" t="n">
        <v>1688.23</v>
      </c>
      <c r="O280" s="14" t="n">
        <v>1762.84</v>
      </c>
      <c r="P280" s="4">
        <f>IF(O280="","",IF(F280&gt;O280,"Above","Below"))</f>
        <v/>
      </c>
      <c r="Q280" s="16" t="n">
        <v>239645</v>
      </c>
      <c r="R280" s="17" t="n">
        <v>0</v>
      </c>
      <c r="S280" s="17" t="n">
        <v>0</v>
      </c>
      <c r="T280" s="17" t="n">
        <v>0</v>
      </c>
      <c r="U280" s="18" t="n">
        <v>0</v>
      </c>
    </row>
    <row r="281">
      <c r="A281" s="13" t="n">
        <v>44875</v>
      </c>
      <c r="B281" s="4">
        <f>TEXT(A281,"ddd")</f>
        <v/>
      </c>
      <c r="C281" s="14" t="n">
        <v>1709.7</v>
      </c>
      <c r="D281" s="14" t="n">
        <v>1760.6</v>
      </c>
      <c r="E281" s="14" t="n">
        <v>1705.5</v>
      </c>
      <c r="F281" s="14" t="n">
        <v>1753.7</v>
      </c>
      <c r="G281" s="9">
        <f>F281-F280</f>
        <v/>
      </c>
      <c r="H281" s="10">
        <f>IF(F280=0,0,G281/F280)</f>
        <v/>
      </c>
      <c r="I281" s="8">
        <f>D281-E281</f>
        <v/>
      </c>
      <c r="J281" s="4">
        <f>IF(F281&gt;C281,"Up",IF(F281&lt;C281,"Down","Flat"))</f>
        <v/>
      </c>
      <c r="K281" s="14" t="n">
        <v>31.3</v>
      </c>
      <c r="L281" s="15" t="n">
        <v>68.28</v>
      </c>
      <c r="M281" s="14" t="n">
        <v>1679.69</v>
      </c>
      <c r="N281" s="14" t="n">
        <v>1690.79</v>
      </c>
      <c r="O281" s="14" t="n">
        <v>1762.75</v>
      </c>
      <c r="P281" s="4">
        <f>IF(O281="","",IF(F281&gt;O281,"Above","Below"))</f>
        <v/>
      </c>
      <c r="Q281" s="16" t="n">
        <v>305717</v>
      </c>
      <c r="R281" s="17" t="n">
        <v>0</v>
      </c>
      <c r="S281" s="17" t="n">
        <v>0</v>
      </c>
      <c r="T281" s="17" t="n">
        <v>0</v>
      </c>
      <c r="U281" s="18" t="n">
        <v>0</v>
      </c>
    </row>
    <row r="282">
      <c r="A282" s="13" t="n">
        <v>44876</v>
      </c>
      <c r="B282" s="4">
        <f>TEXT(A282,"ddd")</f>
        <v/>
      </c>
      <c r="C282" s="14" t="n">
        <v>1758.3</v>
      </c>
      <c r="D282" s="14" t="n">
        <v>1775.6</v>
      </c>
      <c r="E282" s="14" t="n">
        <v>1750.3</v>
      </c>
      <c r="F282" s="14" t="n">
        <v>1769.4</v>
      </c>
      <c r="G282" s="9">
        <f>F282-F281</f>
        <v/>
      </c>
      <c r="H282" s="10">
        <f>IF(F281=0,0,G282/F281)</f>
        <v/>
      </c>
      <c r="I282" s="8">
        <f>D282-E282</f>
        <v/>
      </c>
      <c r="J282" s="4">
        <f>IF(F282&gt;C282,"Up",IF(F282&lt;C282,"Down","Flat"))</f>
        <v/>
      </c>
      <c r="K282" s="14" t="n">
        <v>30.87</v>
      </c>
      <c r="L282" s="15" t="n">
        <v>70.55</v>
      </c>
      <c r="M282" s="14" t="n">
        <v>1688.24</v>
      </c>
      <c r="N282" s="14" t="n">
        <v>1693.88</v>
      </c>
      <c r="O282" s="14" t="n">
        <v>1762.81</v>
      </c>
      <c r="P282" s="4">
        <f>IF(O282="","",IF(F282&gt;O282,"Above","Below"))</f>
        <v/>
      </c>
      <c r="Q282" s="16" t="n">
        <v>227044</v>
      </c>
      <c r="R282" s="17" t="n">
        <v>0</v>
      </c>
      <c r="S282" s="17" t="n">
        <v>0</v>
      </c>
      <c r="T282" s="17" t="n">
        <v>0</v>
      </c>
      <c r="U282" s="18" t="n">
        <v>0</v>
      </c>
    </row>
    <row r="283">
      <c r="A283" s="13" t="n">
        <v>44879</v>
      </c>
      <c r="B283" s="4">
        <f>TEXT(A283,"ddd")</f>
        <v/>
      </c>
      <c r="C283" s="14" t="n">
        <v>1769.4</v>
      </c>
      <c r="D283" s="14" t="n">
        <v>1778.4</v>
      </c>
      <c r="E283" s="14" t="n">
        <v>1755.8</v>
      </c>
      <c r="F283" s="14" t="n">
        <v>1776.9</v>
      </c>
      <c r="G283" s="9">
        <f>F283-F282</f>
        <v/>
      </c>
      <c r="H283" s="10">
        <f>IF(F282=0,0,G283/F282)</f>
        <v/>
      </c>
      <c r="I283" s="8">
        <f>D283-E283</f>
        <v/>
      </c>
      <c r="J283" s="4">
        <f>IF(F283&gt;C283,"Up",IF(F283&lt;C283,"Down","Flat"))</f>
        <v/>
      </c>
      <c r="K283" s="14" t="n">
        <v>30.28</v>
      </c>
      <c r="L283" s="15" t="n">
        <v>71.59999999999999</v>
      </c>
      <c r="M283" s="14" t="n">
        <v>1696.68</v>
      </c>
      <c r="N283" s="14" t="n">
        <v>1697.13</v>
      </c>
      <c r="O283" s="14" t="n">
        <v>1762.95</v>
      </c>
      <c r="P283" s="4">
        <f>IF(O283="","",IF(F283&gt;O283,"Above","Below"))</f>
        <v/>
      </c>
      <c r="Q283" s="16" t="n">
        <v>191347</v>
      </c>
      <c r="R283" s="17" t="n">
        <v>0</v>
      </c>
      <c r="S283" s="17" t="n">
        <v>0</v>
      </c>
      <c r="T283" s="17" t="n">
        <v>0</v>
      </c>
      <c r="U283" s="18" t="n">
        <v>0</v>
      </c>
    </row>
    <row r="284">
      <c r="A284" s="13" t="n">
        <v>44880</v>
      </c>
      <c r="B284" s="4">
        <f>TEXT(A284,"ddd")</f>
        <v/>
      </c>
      <c r="C284" s="14" t="n">
        <v>1774</v>
      </c>
      <c r="D284" s="14" t="n">
        <v>1791.8</v>
      </c>
      <c r="E284" s="14" t="n">
        <v>1770.2</v>
      </c>
      <c r="F284" s="14" t="n">
        <v>1776.8</v>
      </c>
      <c r="G284" s="9">
        <f>F284-F283</f>
        <v/>
      </c>
      <c r="H284" s="10">
        <f>IF(F283=0,0,G284/F283)</f>
        <v/>
      </c>
      <c r="I284" s="8">
        <f>D284-E284</f>
        <v/>
      </c>
      <c r="J284" s="4">
        <f>IF(F284&gt;C284,"Up",IF(F284&lt;C284,"Down","Flat"))</f>
        <v/>
      </c>
      <c r="K284" s="14" t="n">
        <v>29.66</v>
      </c>
      <c r="L284" s="15" t="n">
        <v>71.56</v>
      </c>
      <c r="M284" s="14" t="n">
        <v>1704.31</v>
      </c>
      <c r="N284" s="14" t="n">
        <v>1700.26</v>
      </c>
      <c r="O284" s="14" t="n">
        <v>1763.09</v>
      </c>
      <c r="P284" s="4">
        <f>IF(O284="","",IF(F284&gt;O284,"Above","Below"))</f>
        <v/>
      </c>
      <c r="Q284" s="16" t="n">
        <v>283019</v>
      </c>
      <c r="R284" s="17" t="n">
        <v>0</v>
      </c>
      <c r="S284" s="17" t="n">
        <v>0</v>
      </c>
      <c r="T284" s="17" t="n">
        <v>0</v>
      </c>
      <c r="U284" s="18" t="n">
        <v>0</v>
      </c>
    </row>
    <row r="285">
      <c r="A285" s="13" t="n">
        <v>44881</v>
      </c>
      <c r="B285" s="4">
        <f>TEXT(A285,"ddd")</f>
        <v/>
      </c>
      <c r="C285" s="14" t="n">
        <v>1782</v>
      </c>
      <c r="D285" s="14" t="n">
        <v>1788.2</v>
      </c>
      <c r="E285" s="14" t="n">
        <v>1773.4</v>
      </c>
      <c r="F285" s="14" t="n">
        <v>1775.8</v>
      </c>
      <c r="G285" s="9">
        <f>F285-F284</f>
        <v/>
      </c>
      <c r="H285" s="10">
        <f>IF(F284=0,0,G285/F284)</f>
        <v/>
      </c>
      <c r="I285" s="8">
        <f>D285-E285</f>
        <v/>
      </c>
      <c r="J285" s="4">
        <f>IF(F285&gt;C285,"Up",IF(F285&lt;C285,"Down","Flat"))</f>
        <v/>
      </c>
      <c r="K285" s="14" t="n">
        <v>28.6</v>
      </c>
      <c r="L285" s="15" t="n">
        <v>71.17</v>
      </c>
      <c r="M285" s="14" t="n">
        <v>1711.12</v>
      </c>
      <c r="N285" s="14" t="n">
        <v>1703.22</v>
      </c>
      <c r="O285" s="14" t="n">
        <v>1763.22</v>
      </c>
      <c r="P285" s="4">
        <f>IF(O285="","",IF(F285&gt;O285,"Above","Below"))</f>
        <v/>
      </c>
      <c r="Q285" s="16" t="n">
        <v>200755</v>
      </c>
      <c r="R285" s="17" t="n">
        <v>0</v>
      </c>
      <c r="S285" s="17" t="n">
        <v>0</v>
      </c>
      <c r="T285" s="17" t="n">
        <v>0</v>
      </c>
      <c r="U285" s="18" t="n">
        <v>0</v>
      </c>
    </row>
    <row r="286">
      <c r="A286" s="13" t="n">
        <v>44882</v>
      </c>
      <c r="B286" s="4">
        <f>TEXT(A286,"ddd")</f>
        <v/>
      </c>
      <c r="C286" s="14" t="n">
        <v>1777</v>
      </c>
      <c r="D286" s="14" t="n">
        <v>1777.6</v>
      </c>
      <c r="E286" s="14" t="n">
        <v>1756.6</v>
      </c>
      <c r="F286" s="14" t="n">
        <v>1763</v>
      </c>
      <c r="G286" s="9">
        <f>F286-F285</f>
        <v/>
      </c>
      <c r="H286" s="10">
        <f>IF(F285=0,0,G286/F285)</f>
        <v/>
      </c>
      <c r="I286" s="8">
        <f>D286-E286</f>
        <v/>
      </c>
      <c r="J286" s="4">
        <f>IF(F286&gt;C286,"Up",IF(F286&lt;C286,"Down","Flat"))</f>
        <v/>
      </c>
      <c r="K286" s="14" t="n">
        <v>28.05</v>
      </c>
      <c r="L286" s="15" t="n">
        <v>66.18000000000001</v>
      </c>
      <c r="M286" s="14" t="n">
        <v>1716.06</v>
      </c>
      <c r="N286" s="14" t="n">
        <v>1705.56</v>
      </c>
      <c r="O286" s="14" t="n">
        <v>1763.22</v>
      </c>
      <c r="P286" s="4">
        <f>IF(O286="","",IF(F286&gt;O286,"Above","Below"))</f>
        <v/>
      </c>
      <c r="Q286" s="16" t="n">
        <v>169097</v>
      </c>
      <c r="R286" s="17" t="n">
        <v>0</v>
      </c>
      <c r="S286" s="17" t="n">
        <v>0</v>
      </c>
      <c r="T286" s="17" t="n">
        <v>0</v>
      </c>
      <c r="U286" s="18" t="n">
        <v>0</v>
      </c>
    </row>
    <row r="287">
      <c r="A287" s="13" t="n">
        <v>44883</v>
      </c>
      <c r="B287" s="4">
        <f>TEXT(A287,"ddd")</f>
        <v/>
      </c>
      <c r="C287" s="14" t="n">
        <v>1763.1</v>
      </c>
      <c r="D287" s="14" t="n">
        <v>1769.9</v>
      </c>
      <c r="E287" s="14" t="n">
        <v>1749.2</v>
      </c>
      <c r="F287" s="14" t="n">
        <v>1754.4</v>
      </c>
      <c r="G287" s="9">
        <f>F287-F286</f>
        <v/>
      </c>
      <c r="H287" s="10">
        <f>IF(F286=0,0,G287/F286)</f>
        <v/>
      </c>
      <c r="I287" s="8">
        <f>D287-E287</f>
        <v/>
      </c>
      <c r="J287" s="4">
        <f>IF(F287&gt;C287,"Up",IF(F287&lt;C287,"Down","Flat"))</f>
        <v/>
      </c>
      <c r="K287" s="14" t="n">
        <v>27.53</v>
      </c>
      <c r="L287" s="15" t="n">
        <v>62.99</v>
      </c>
      <c r="M287" s="14" t="n">
        <v>1719.71</v>
      </c>
      <c r="N287" s="14" t="n">
        <v>1707.48</v>
      </c>
      <c r="O287" s="14" t="n">
        <v>1763.13</v>
      </c>
      <c r="P287" s="4">
        <f>IF(O287="","",IF(F287&gt;O287,"Above","Below"))</f>
        <v/>
      </c>
      <c r="Q287" s="16" t="n">
        <v>137327</v>
      </c>
      <c r="R287" s="17" t="n">
        <v>0</v>
      </c>
      <c r="S287" s="17" t="n">
        <v>0</v>
      </c>
      <c r="T287" s="17" t="n">
        <v>0</v>
      </c>
      <c r="U287" s="18" t="n">
        <v>0</v>
      </c>
    </row>
    <row r="288">
      <c r="A288" s="13" t="n">
        <v>44886</v>
      </c>
      <c r="B288" s="4">
        <f>TEXT(A288,"ddd")</f>
        <v/>
      </c>
      <c r="C288" s="14" t="n">
        <v>1752</v>
      </c>
      <c r="D288" s="14" t="n">
        <v>1755</v>
      </c>
      <c r="E288" s="14" t="n">
        <v>1733.9</v>
      </c>
      <c r="F288" s="14" t="n">
        <v>1739.6</v>
      </c>
      <c r="G288" s="9">
        <f>F288-F287</f>
        <v/>
      </c>
      <c r="H288" s="10">
        <f>IF(F287=0,0,G288/F287)</f>
        <v/>
      </c>
      <c r="I288" s="8">
        <f>D288-E288</f>
        <v/>
      </c>
      <c r="J288" s="4">
        <f>IF(F288&gt;C288,"Up",IF(F288&lt;C288,"Down","Flat"))</f>
        <v/>
      </c>
      <c r="K288" s="14" t="n">
        <v>27.07</v>
      </c>
      <c r="L288" s="15" t="n">
        <v>57.81</v>
      </c>
      <c r="M288" s="14" t="n">
        <v>1721.61</v>
      </c>
      <c r="N288" s="14" t="n">
        <v>1708.74</v>
      </c>
      <c r="O288" s="14" t="n">
        <v>1762.89</v>
      </c>
      <c r="P288" s="4">
        <f>IF(O288="","",IF(F288&gt;O288,"Above","Below"))</f>
        <v/>
      </c>
      <c r="Q288" s="16" t="n">
        <v>166082</v>
      </c>
      <c r="R288" s="17" t="n">
        <v>0</v>
      </c>
      <c r="S288" s="17" t="n">
        <v>0</v>
      </c>
      <c r="T288" s="17" t="n">
        <v>0</v>
      </c>
      <c r="U288" s="18" t="n">
        <v>0</v>
      </c>
    </row>
    <row r="289">
      <c r="A289" s="13" t="n">
        <v>44887</v>
      </c>
      <c r="B289" s="4">
        <f>TEXT(A289,"ddd")</f>
        <v/>
      </c>
      <c r="C289" s="14" t="n">
        <v>1739.7</v>
      </c>
      <c r="D289" s="14" t="n">
        <v>1751</v>
      </c>
      <c r="E289" s="14" t="n">
        <v>1737.6</v>
      </c>
      <c r="F289" s="14" t="n">
        <v>1739.9</v>
      </c>
      <c r="G289" s="9">
        <f>F289-F288</f>
        <v/>
      </c>
      <c r="H289" s="10">
        <f>IF(F288=0,0,G289/F288)</f>
        <v/>
      </c>
      <c r="I289" s="8">
        <f>D289-E289</f>
        <v/>
      </c>
      <c r="J289" s="4">
        <f>IF(F289&gt;C289,"Up",IF(F289&lt;C289,"Down","Flat"))</f>
        <v/>
      </c>
      <c r="K289" s="14" t="n">
        <v>26.09</v>
      </c>
      <c r="L289" s="15" t="n">
        <v>57.89</v>
      </c>
      <c r="M289" s="14" t="n">
        <v>1723.35</v>
      </c>
      <c r="N289" s="14" t="n">
        <v>1709.96</v>
      </c>
      <c r="O289" s="14" t="n">
        <v>1762.67</v>
      </c>
      <c r="P289" s="4">
        <f>IF(O289="","",IF(F289&gt;O289,"Above","Below"))</f>
        <v/>
      </c>
      <c r="Q289" s="16" t="n">
        <v>153092</v>
      </c>
      <c r="R289" s="17" t="n">
        <v>0</v>
      </c>
      <c r="S289" s="17" t="n">
        <v>0</v>
      </c>
      <c r="T289" s="17" t="n">
        <v>0</v>
      </c>
      <c r="U289" s="18" t="n">
        <v>0</v>
      </c>
    </row>
    <row r="290">
      <c r="A290" s="13" t="n">
        <v>44888</v>
      </c>
      <c r="B290" s="4">
        <f>TEXT(A290,"ddd")</f>
        <v/>
      </c>
      <c r="C290" s="14" t="n">
        <v>1740.8</v>
      </c>
      <c r="D290" s="14" t="n">
        <v>1754.9</v>
      </c>
      <c r="E290" s="14" t="n">
        <v>1719</v>
      </c>
      <c r="F290" s="14" t="n">
        <v>1745.6</v>
      </c>
      <c r="G290" s="9">
        <f>F290-F289</f>
        <v/>
      </c>
      <c r="H290" s="10">
        <f>IF(F289=0,0,G290/F289)</f>
        <v/>
      </c>
      <c r="I290" s="8">
        <f>D290-E290</f>
        <v/>
      </c>
      <c r="J290" s="4">
        <f>IF(F290&gt;C290,"Up",IF(F290&lt;C290,"Down","Flat"))</f>
        <v/>
      </c>
      <c r="K290" s="14" t="n">
        <v>26.79</v>
      </c>
      <c r="L290" s="15" t="n">
        <v>59.38</v>
      </c>
      <c r="M290" s="14" t="n">
        <v>1725.47</v>
      </c>
      <c r="N290" s="14" t="n">
        <v>1711.36</v>
      </c>
      <c r="O290" s="14" t="n">
        <v>1762.5</v>
      </c>
      <c r="P290" s="4">
        <f>IF(O290="","",IF(F290&gt;O290,"Above","Below"))</f>
        <v/>
      </c>
      <c r="Q290" s="16" t="n">
        <v>167770</v>
      </c>
      <c r="R290" s="17" t="n">
        <v>0</v>
      </c>
      <c r="S290" s="17" t="n">
        <v>0</v>
      </c>
      <c r="T290" s="17" t="n">
        <v>0</v>
      </c>
      <c r="U290" s="18" t="n">
        <v>0</v>
      </c>
    </row>
    <row r="291">
      <c r="A291" s="13" t="n">
        <v>44890</v>
      </c>
      <c r="B291" s="4">
        <f>TEXT(A291,"ddd")</f>
        <v/>
      </c>
      <c r="C291" s="14" t="n">
        <v>1751</v>
      </c>
      <c r="D291" s="14" t="n">
        <v>1761.2</v>
      </c>
      <c r="E291" s="14" t="n">
        <v>1745.9</v>
      </c>
      <c r="F291" s="14" t="n">
        <v>1754</v>
      </c>
      <c r="G291" s="9">
        <f>F291-F290</f>
        <v/>
      </c>
      <c r="H291" s="10">
        <f>IF(F290=0,0,G291/F290)</f>
        <v/>
      </c>
      <c r="I291" s="8">
        <f>D291-E291</f>
        <v/>
      </c>
      <c r="J291" s="4">
        <f>IF(F291&gt;C291,"Up",IF(F291&lt;C291,"Down","Flat"))</f>
        <v/>
      </c>
      <c r="K291" s="14" t="n">
        <v>25.99</v>
      </c>
      <c r="L291" s="15" t="n">
        <v>61.53</v>
      </c>
      <c r="M291" s="14" t="n">
        <v>1728.18</v>
      </c>
      <c r="N291" s="14" t="n">
        <v>1713.03</v>
      </c>
      <c r="O291" s="14" t="n">
        <v>1762.41</v>
      </c>
      <c r="P291" s="4">
        <f>IF(O291="","",IF(F291&gt;O291,"Above","Below"))</f>
        <v/>
      </c>
      <c r="Q291" s="16" t="n">
        <v>134299</v>
      </c>
      <c r="R291" s="17" t="n">
        <v>0</v>
      </c>
      <c r="S291" s="17" t="n">
        <v>0</v>
      </c>
      <c r="T291" s="17" t="n">
        <v>0</v>
      </c>
      <c r="U291" s="18" t="n">
        <v>0</v>
      </c>
    </row>
    <row r="292">
      <c r="A292" s="13" t="n">
        <v>44893</v>
      </c>
      <c r="B292" s="4">
        <f>TEXT(A292,"ddd")</f>
        <v/>
      </c>
      <c r="C292" s="14" t="n">
        <v>1755</v>
      </c>
      <c r="D292" s="14" t="n">
        <v>1763.5</v>
      </c>
      <c r="E292" s="14" t="n">
        <v>1738.2</v>
      </c>
      <c r="F292" s="14" t="n">
        <v>1740.3</v>
      </c>
      <c r="G292" s="9">
        <f>F292-F291</f>
        <v/>
      </c>
      <c r="H292" s="10">
        <f>IF(F291=0,0,G292/F291)</f>
        <v/>
      </c>
      <c r="I292" s="8">
        <f>D292-E292</f>
        <v/>
      </c>
      <c r="J292" s="4">
        <f>IF(F292&gt;C292,"Up",IF(F292&lt;C292,"Down","Flat"))</f>
        <v/>
      </c>
      <c r="K292" s="14" t="n">
        <v>25.94</v>
      </c>
      <c r="L292" s="15" t="n">
        <v>56.29</v>
      </c>
      <c r="M292" s="14" t="n">
        <v>1729.34</v>
      </c>
      <c r="N292" s="14" t="n">
        <v>1714.1</v>
      </c>
      <c r="O292" s="14" t="n">
        <v>1762.19</v>
      </c>
      <c r="P292" s="4">
        <f>IF(O292="","",IF(F292&gt;O292,"Above","Below"))</f>
        <v/>
      </c>
      <c r="Q292" s="16" t="n">
        <v>132767</v>
      </c>
      <c r="R292" s="17" t="n">
        <v>0</v>
      </c>
      <c r="S292" s="17" t="n">
        <v>0</v>
      </c>
      <c r="T292" s="17" t="n">
        <v>0</v>
      </c>
      <c r="U292" s="18" t="n">
        <v>0</v>
      </c>
    </row>
    <row r="293">
      <c r="A293" s="13" t="n">
        <v>44894</v>
      </c>
      <c r="B293" s="4">
        <f>TEXT(A293,"ddd")</f>
        <v/>
      </c>
      <c r="C293" s="14" t="n">
        <v>1739.5</v>
      </c>
      <c r="D293" s="14" t="n">
        <v>1758.2</v>
      </c>
      <c r="E293" s="14" t="n">
        <v>1737.9</v>
      </c>
      <c r="F293" s="14" t="n">
        <v>1748.4</v>
      </c>
      <c r="G293" s="9">
        <f>F293-F292</f>
        <v/>
      </c>
      <c r="H293" s="10">
        <f>IF(F292=0,0,G293/F292)</f>
        <v/>
      </c>
      <c r="I293" s="8">
        <f>D293-E293</f>
        <v/>
      </c>
      <c r="J293" s="4">
        <f>IF(F293&gt;C293,"Up",IF(F293&lt;C293,"Down","Flat"))</f>
        <v/>
      </c>
      <c r="K293" s="14" t="n">
        <v>25.54</v>
      </c>
      <c r="L293" s="15" t="n">
        <v>58.54</v>
      </c>
      <c r="M293" s="14" t="n">
        <v>1731.15</v>
      </c>
      <c r="N293" s="14" t="n">
        <v>1715.44</v>
      </c>
      <c r="O293" s="14" t="n">
        <v>1762.05</v>
      </c>
      <c r="P293" s="4">
        <f>IF(O293="","",IF(F293&gt;O293,"Above","Below"))</f>
        <v/>
      </c>
      <c r="Q293" s="16" t="n">
        <v>19416</v>
      </c>
      <c r="R293" s="17" t="n">
        <v>0</v>
      </c>
      <c r="S293" s="17" t="n">
        <v>0</v>
      </c>
      <c r="T293" s="17" t="n">
        <v>0</v>
      </c>
      <c r="U293" s="18" t="n">
        <v>0</v>
      </c>
    </row>
    <row r="294">
      <c r="A294" s="13" t="n">
        <v>44895</v>
      </c>
      <c r="B294" s="4">
        <f>TEXT(A294,"ddd")</f>
        <v/>
      </c>
      <c r="C294" s="14" t="n">
        <v>1748.1</v>
      </c>
      <c r="D294" s="14" t="n">
        <v>1769.4</v>
      </c>
      <c r="E294" s="14" t="n">
        <v>1745.1</v>
      </c>
      <c r="F294" s="14" t="n">
        <v>1746</v>
      </c>
      <c r="G294" s="9">
        <f>F294-F293</f>
        <v/>
      </c>
      <c r="H294" s="10">
        <f>IF(F293=0,0,G294/F293)</f>
        <v/>
      </c>
      <c r="I294" s="8">
        <f>D294-E294</f>
        <v/>
      </c>
      <c r="J294" s="4">
        <f>IF(F294&gt;C294,"Up",IF(F294&lt;C294,"Down","Flat"))</f>
        <v/>
      </c>
      <c r="K294" s="14" t="n">
        <v>25.45</v>
      </c>
      <c r="L294" s="15" t="n">
        <v>57.59</v>
      </c>
      <c r="M294" s="14" t="n">
        <v>1732.57</v>
      </c>
      <c r="N294" s="14" t="n">
        <v>1716.64</v>
      </c>
      <c r="O294" s="14" t="n">
        <v>1761.89</v>
      </c>
      <c r="P294" s="4">
        <f>IF(O294="","",IF(F294&gt;O294,"Above","Below"))</f>
        <v/>
      </c>
      <c r="Q294" s="16" t="n">
        <v>192239</v>
      </c>
      <c r="R294" s="17" t="n">
        <v>0</v>
      </c>
      <c r="S294" s="17" t="n">
        <v>0</v>
      </c>
      <c r="T294" s="17" t="n">
        <v>0</v>
      </c>
      <c r="U294" s="18" t="n">
        <v>0</v>
      </c>
    </row>
    <row r="295">
      <c r="A295" s="13" t="n">
        <v>44896</v>
      </c>
      <c r="B295" s="4">
        <f>TEXT(A295,"ddd")</f>
        <v/>
      </c>
      <c r="C295" s="14" t="n">
        <v>1783.1</v>
      </c>
      <c r="D295" s="14" t="n">
        <v>1818.4</v>
      </c>
      <c r="E295" s="14" t="n">
        <v>1782.9</v>
      </c>
      <c r="F295" s="14" t="n">
        <v>1815.2</v>
      </c>
      <c r="G295" s="9">
        <f>F295-F294</f>
        <v/>
      </c>
      <c r="H295" s="10">
        <f>IF(F294=0,0,G295/F294)</f>
        <v/>
      </c>
      <c r="I295" s="8">
        <f>D295-E295</f>
        <v/>
      </c>
      <c r="J295" s="4">
        <f>IF(F295&gt;C295,"Up",IF(F295&lt;C295,"Down","Flat"))</f>
        <v/>
      </c>
      <c r="K295" s="14" t="n">
        <v>28.81</v>
      </c>
      <c r="L295" s="15" t="n">
        <v>71.77</v>
      </c>
      <c r="M295" s="14" t="n">
        <v>1740.44</v>
      </c>
      <c r="N295" s="14" t="n">
        <v>1720.51</v>
      </c>
      <c r="O295" s="14" t="n">
        <v>1762.42</v>
      </c>
      <c r="P295" s="4">
        <f>IF(O295="","",IF(F295&gt;O295,"Above","Below"))</f>
        <v/>
      </c>
      <c r="Q295" s="16" t="n">
        <v>226148</v>
      </c>
      <c r="R295" s="17" t="n">
        <v>0</v>
      </c>
      <c r="S295" s="17" t="n">
        <v>0</v>
      </c>
      <c r="T295" s="17" t="n">
        <v>0</v>
      </c>
      <c r="U295" s="18" t="n">
        <v>0</v>
      </c>
    </row>
    <row r="296">
      <c r="A296" s="13" t="n">
        <v>44897</v>
      </c>
      <c r="B296" s="4">
        <f>TEXT(A296,"ddd")</f>
        <v/>
      </c>
      <c r="C296" s="14" t="n">
        <v>1817</v>
      </c>
      <c r="D296" s="14" t="n">
        <v>1818.7</v>
      </c>
      <c r="E296" s="14" t="n">
        <v>1791.8</v>
      </c>
      <c r="F296" s="14" t="n">
        <v>1809.6</v>
      </c>
      <c r="G296" s="9">
        <f>F296-F295</f>
        <v/>
      </c>
      <c r="H296" s="10">
        <f>IF(F295=0,0,G296/F295)</f>
        <v/>
      </c>
      <c r="I296" s="8">
        <f>D296-E296</f>
        <v/>
      </c>
      <c r="J296" s="4">
        <f>IF(F296&gt;C296,"Up",IF(F296&lt;C296,"Down","Flat"))</f>
        <v/>
      </c>
      <c r="K296" s="14" t="n">
        <v>28.67</v>
      </c>
      <c r="L296" s="15" t="n">
        <v>69.73</v>
      </c>
      <c r="M296" s="14" t="n">
        <v>1747.02</v>
      </c>
      <c r="N296" s="14" t="n">
        <v>1724</v>
      </c>
      <c r="O296" s="14" t="n">
        <v>1762.89</v>
      </c>
      <c r="P296" s="4">
        <f>IF(O296="","",IF(F296&gt;O296,"Above","Below"))</f>
        <v/>
      </c>
      <c r="Q296" s="16" t="n">
        <v>183724</v>
      </c>
      <c r="R296" s="17" t="n">
        <v>0</v>
      </c>
      <c r="S296" s="17" t="n">
        <v>0</v>
      </c>
      <c r="T296" s="17" t="n">
        <v>0</v>
      </c>
      <c r="U296" s="18" t="n">
        <v>0</v>
      </c>
    </row>
    <row r="297">
      <c r="A297" s="13" t="n">
        <v>44900</v>
      </c>
      <c r="B297" s="4">
        <f>TEXT(A297,"ddd")</f>
        <v/>
      </c>
      <c r="C297" s="14" t="n">
        <v>1810.5</v>
      </c>
      <c r="D297" s="14" t="n">
        <v>1822.9</v>
      </c>
      <c r="E297" s="14" t="n">
        <v>1778.1</v>
      </c>
      <c r="F297" s="14" t="n">
        <v>1781.3</v>
      </c>
      <c r="G297" s="9">
        <f>F297-F296</f>
        <v/>
      </c>
      <c r="H297" s="10">
        <f>IF(F296=0,0,G297/F296)</f>
        <v/>
      </c>
      <c r="I297" s="8">
        <f>D297-E297</f>
        <v/>
      </c>
      <c r="J297" s="4">
        <f>IF(F297&gt;C297,"Up",IF(F297&lt;C297,"Down","Flat"))</f>
        <v/>
      </c>
      <c r="K297" s="14" t="n">
        <v>29.82</v>
      </c>
      <c r="L297" s="15" t="n">
        <v>60.43</v>
      </c>
      <c r="M297" s="14" t="n">
        <v>1750.29</v>
      </c>
      <c r="N297" s="14" t="n">
        <v>1726.25</v>
      </c>
      <c r="O297" s="14" t="n">
        <v>1763.08</v>
      </c>
      <c r="P297" s="4">
        <f>IF(O297="","",IF(F297&gt;O297,"Above","Below"))</f>
        <v/>
      </c>
      <c r="Q297" s="16" t="n">
        <v>179818</v>
      </c>
      <c r="R297" s="17" t="n">
        <v>0</v>
      </c>
      <c r="S297" s="17" t="n">
        <v>0</v>
      </c>
      <c r="T297" s="17" t="n">
        <v>0</v>
      </c>
      <c r="U297" s="18" t="n">
        <v>0</v>
      </c>
    </row>
    <row r="298">
      <c r="A298" s="13" t="n">
        <v>44901</v>
      </c>
      <c r="B298" s="4">
        <f>TEXT(A298,"ddd")</f>
        <v/>
      </c>
      <c r="C298" s="14" t="n">
        <v>1780.8</v>
      </c>
      <c r="D298" s="14" t="n">
        <v>1793.2</v>
      </c>
      <c r="E298" s="14" t="n">
        <v>1779.1</v>
      </c>
      <c r="F298" s="14" t="n">
        <v>1782.4</v>
      </c>
      <c r="G298" s="9">
        <f>F298-F297</f>
        <v/>
      </c>
      <c r="H298" s="10">
        <f>IF(F297=0,0,G298/F297)</f>
        <v/>
      </c>
      <c r="I298" s="8">
        <f>D298-E298</f>
        <v/>
      </c>
      <c r="J298" s="4">
        <f>IF(F298&gt;C298,"Up",IF(F298&lt;C298,"Down","Flat"))</f>
        <v/>
      </c>
      <c r="K298" s="14" t="n">
        <v>28.7</v>
      </c>
      <c r="L298" s="15" t="n">
        <v>60.65</v>
      </c>
      <c r="M298" s="14" t="n">
        <v>1753.35</v>
      </c>
      <c r="N298" s="14" t="n">
        <v>1728.45</v>
      </c>
      <c r="O298" s="14" t="n">
        <v>1763.27</v>
      </c>
      <c r="P298" s="4">
        <f>IF(O298="","",IF(F298&gt;O298,"Above","Below"))</f>
        <v/>
      </c>
      <c r="Q298" s="16" t="n">
        <v>127856</v>
      </c>
      <c r="R298" s="17" t="n">
        <v>0</v>
      </c>
      <c r="S298" s="17" t="n">
        <v>0</v>
      </c>
      <c r="T298" s="17" t="n">
        <v>0</v>
      </c>
      <c r="U298" s="18" t="n">
        <v>0</v>
      </c>
    </row>
    <row r="299">
      <c r="A299" s="13" t="n">
        <v>44902</v>
      </c>
      <c r="B299" s="4">
        <f>TEXT(A299,"ddd")</f>
        <v/>
      </c>
      <c r="C299" s="14" t="n">
        <v>1783.3</v>
      </c>
      <c r="D299" s="14" t="n">
        <v>1803.2</v>
      </c>
      <c r="E299" s="14" t="n">
        <v>1780.5</v>
      </c>
      <c r="F299" s="14" t="n">
        <v>1798</v>
      </c>
      <c r="G299" s="9">
        <f>F299-F298</f>
        <v/>
      </c>
      <c r="H299" s="10">
        <f>IF(F298=0,0,G299/F298)</f>
        <v/>
      </c>
      <c r="I299" s="8">
        <f>D299-E299</f>
        <v/>
      </c>
      <c r="J299" s="4">
        <f>IF(F299&gt;C299,"Up",IF(F299&lt;C299,"Down","Flat"))</f>
        <v/>
      </c>
      <c r="K299" s="14" t="n">
        <v>28.27</v>
      </c>
      <c r="L299" s="15" t="n">
        <v>63.72</v>
      </c>
      <c r="M299" s="14" t="n">
        <v>1757.6</v>
      </c>
      <c r="N299" s="14" t="n">
        <v>1731.18</v>
      </c>
      <c r="O299" s="14" t="n">
        <v>1763.61</v>
      </c>
      <c r="P299" s="4">
        <f>IF(O299="","",IF(F299&gt;O299,"Above","Below"))</f>
        <v/>
      </c>
      <c r="Q299" s="16" t="n">
        <v>155568</v>
      </c>
      <c r="R299" s="17" t="n">
        <v>0</v>
      </c>
      <c r="S299" s="17" t="n">
        <v>0</v>
      </c>
      <c r="T299" s="17" t="n">
        <v>0</v>
      </c>
      <c r="U299" s="18" t="n">
        <v>0</v>
      </c>
    </row>
    <row r="300">
      <c r="A300" s="13" t="n">
        <v>44903</v>
      </c>
      <c r="B300" s="4">
        <f>TEXT(A300,"ddd")</f>
        <v/>
      </c>
      <c r="C300" s="14" t="n">
        <v>1799.5</v>
      </c>
      <c r="D300" s="14" t="n">
        <v>1806.9</v>
      </c>
      <c r="E300" s="14" t="n">
        <v>1793.2</v>
      </c>
      <c r="F300" s="14" t="n">
        <v>1801.5</v>
      </c>
      <c r="G300" s="9">
        <f>F300-F299</f>
        <v/>
      </c>
      <c r="H300" s="10">
        <f>IF(F299=0,0,G300/F299)</f>
        <v/>
      </c>
      <c r="I300" s="8">
        <f>D300-E300</f>
        <v/>
      </c>
      <c r="J300" s="4">
        <f>IF(F300&gt;C300,"Up",IF(F300&lt;C300,"Down","Flat"))</f>
        <v/>
      </c>
      <c r="K300" s="14" t="n">
        <v>27.23</v>
      </c>
      <c r="L300" s="15" t="n">
        <v>64.40000000000001</v>
      </c>
      <c r="M300" s="14" t="n">
        <v>1761.78</v>
      </c>
      <c r="N300" s="14" t="n">
        <v>1733.94</v>
      </c>
      <c r="O300" s="14" t="n">
        <v>1763.99</v>
      </c>
      <c r="P300" s="4">
        <f>IF(O300="","",IF(F300&gt;O300,"Above","Below"))</f>
        <v/>
      </c>
      <c r="Q300" s="16" t="n">
        <v>116274</v>
      </c>
      <c r="R300" s="17" t="n">
        <v>0</v>
      </c>
      <c r="S300" s="17" t="n">
        <v>0</v>
      </c>
      <c r="T300" s="17" t="n">
        <v>0</v>
      </c>
      <c r="U300" s="18" t="n">
        <v>0</v>
      </c>
    </row>
    <row r="301">
      <c r="A301" s="13" t="n">
        <v>44904</v>
      </c>
      <c r="B301" s="4">
        <f>TEXT(A301,"ddd")</f>
        <v/>
      </c>
      <c r="C301" s="14" t="n">
        <v>1801.9</v>
      </c>
      <c r="D301" s="14" t="n">
        <v>1819</v>
      </c>
      <c r="E301" s="14" t="n">
        <v>1800.1</v>
      </c>
      <c r="F301" s="14" t="n">
        <v>1810.7</v>
      </c>
      <c r="G301" s="9">
        <f>F301-F300</f>
        <v/>
      </c>
      <c r="H301" s="10">
        <f>IF(F300=0,0,G301/F300)</f>
        <v/>
      </c>
      <c r="I301" s="8">
        <f>D301-E301</f>
        <v/>
      </c>
      <c r="J301" s="4">
        <f>IF(F301&gt;C301,"Up",IF(F301&lt;C301,"Down","Flat"))</f>
        <v/>
      </c>
      <c r="K301" s="14" t="n">
        <v>26.63</v>
      </c>
      <c r="L301" s="15" t="n">
        <v>66.17</v>
      </c>
      <c r="M301" s="14" t="n">
        <v>1766.44</v>
      </c>
      <c r="N301" s="14" t="n">
        <v>1736.95</v>
      </c>
      <c r="O301" s="14" t="n">
        <v>1764.46</v>
      </c>
      <c r="P301" s="4">
        <f>IF(O301="","",IF(F301&gt;O301,"Above","Below"))</f>
        <v/>
      </c>
      <c r="Q301" s="16" t="n">
        <v>150938</v>
      </c>
      <c r="R301" s="17" t="n">
        <v>0</v>
      </c>
      <c r="S301" s="17" t="n">
        <v>0</v>
      </c>
      <c r="T301" s="17" t="n">
        <v>0</v>
      </c>
      <c r="U301" s="18" t="n">
        <v>0</v>
      </c>
    </row>
    <row r="302">
      <c r="A302" s="13" t="n">
        <v>44907</v>
      </c>
      <c r="B302" s="4">
        <f>TEXT(A302,"ddd")</f>
        <v/>
      </c>
      <c r="C302" s="14" t="n">
        <v>1808</v>
      </c>
      <c r="D302" s="14" t="n">
        <v>1809.3</v>
      </c>
      <c r="E302" s="14" t="n">
        <v>1789</v>
      </c>
      <c r="F302" s="14" t="n">
        <v>1792.3</v>
      </c>
      <c r="G302" s="9">
        <f>F302-F301</f>
        <v/>
      </c>
      <c r="H302" s="10">
        <f>IF(F301=0,0,G302/F301)</f>
        <v/>
      </c>
      <c r="I302" s="8">
        <f>D302-E302</f>
        <v/>
      </c>
      <c r="J302" s="4">
        <f>IF(F302&gt;C302,"Up",IF(F302&lt;C302,"Down","Flat"))</f>
        <v/>
      </c>
      <c r="K302" s="14" t="n">
        <v>26.28</v>
      </c>
      <c r="L302" s="15" t="n">
        <v>59.75</v>
      </c>
      <c r="M302" s="14" t="n">
        <v>1768.9</v>
      </c>
      <c r="N302" s="14" t="n">
        <v>1739.12</v>
      </c>
      <c r="O302" s="14" t="n">
        <v>1764.73</v>
      </c>
      <c r="P302" s="4">
        <f>IF(O302="","",IF(F302&gt;O302,"Above","Below"))</f>
        <v/>
      </c>
      <c r="Q302" s="16" t="n">
        <v>107782</v>
      </c>
      <c r="R302" s="17" t="n">
        <v>0</v>
      </c>
      <c r="S302" s="17" t="n">
        <v>0</v>
      </c>
      <c r="T302" s="17" t="n">
        <v>0</v>
      </c>
      <c r="U302" s="18" t="n">
        <v>0</v>
      </c>
    </row>
    <row r="303">
      <c r="A303" s="13" t="n">
        <v>44908</v>
      </c>
      <c r="B303" s="4">
        <f>TEXT(A303,"ddd")</f>
        <v/>
      </c>
      <c r="C303" s="14" t="n">
        <v>1792.3</v>
      </c>
      <c r="D303" s="14" t="n">
        <v>1836.9</v>
      </c>
      <c r="E303" s="14" t="n">
        <v>1791.8</v>
      </c>
      <c r="F303" s="14" t="n">
        <v>1825.5</v>
      </c>
      <c r="G303" s="9">
        <f>F303-F302</f>
        <v/>
      </c>
      <c r="H303" s="10">
        <f>IF(F302=0,0,G303/F302)</f>
        <v/>
      </c>
      <c r="I303" s="8">
        <f>D303-E303</f>
        <v/>
      </c>
      <c r="J303" s="4">
        <f>IF(F303&gt;C303,"Up",IF(F303&lt;C303,"Down","Flat"))</f>
        <v/>
      </c>
      <c r="K303" s="14" t="n">
        <v>27.63</v>
      </c>
      <c r="L303" s="15" t="n">
        <v>66.14</v>
      </c>
      <c r="M303" s="14" t="n">
        <v>1774.29</v>
      </c>
      <c r="N303" s="14" t="n">
        <v>1742.5</v>
      </c>
      <c r="O303" s="14" t="n">
        <v>1765.34</v>
      </c>
      <c r="P303" s="4">
        <f>IF(O303="","",IF(F303&gt;O303,"Above","Below"))</f>
        <v/>
      </c>
      <c r="Q303" s="16" t="n">
        <v>230911</v>
      </c>
      <c r="R303" s="17" t="n">
        <v>0</v>
      </c>
      <c r="S303" s="17" t="n">
        <v>0</v>
      </c>
      <c r="T303" s="17" t="n">
        <v>0</v>
      </c>
      <c r="U303" s="18" t="n">
        <v>0</v>
      </c>
    </row>
    <row r="304">
      <c r="A304" s="13" t="n">
        <v>44909</v>
      </c>
      <c r="B304" s="4">
        <f>TEXT(A304,"ddd")</f>
        <v/>
      </c>
      <c r="C304" s="14" t="n">
        <v>1822.6</v>
      </c>
      <c r="D304" s="14" t="n">
        <v>1825.4</v>
      </c>
      <c r="E304" s="14" t="n">
        <v>1806.2</v>
      </c>
      <c r="F304" s="14" t="n">
        <v>1818.7</v>
      </c>
      <c r="G304" s="9">
        <f>F304-F303</f>
        <v/>
      </c>
      <c r="H304" s="10">
        <f>IF(F303=0,0,G304/F303)</f>
        <v/>
      </c>
      <c r="I304" s="8">
        <f>D304-E304</f>
        <v/>
      </c>
      <c r="J304" s="4">
        <f>IF(F304&gt;C304,"Up",IF(F304&lt;C304,"Down","Flat"))</f>
        <v/>
      </c>
      <c r="K304" s="14" t="n">
        <v>27.03</v>
      </c>
      <c r="L304" s="15" t="n">
        <v>63.9</v>
      </c>
      <c r="M304" s="14" t="n">
        <v>1778.52</v>
      </c>
      <c r="N304" s="14" t="n">
        <v>1745.49</v>
      </c>
      <c r="O304" s="14" t="n">
        <v>1765.87</v>
      </c>
      <c r="P304" s="4">
        <f>IF(O304="","",IF(F304&gt;O304,"Above","Below"))</f>
        <v/>
      </c>
      <c r="Q304" s="16" t="n">
        <v>143804</v>
      </c>
      <c r="R304" s="17" t="n">
        <v>0</v>
      </c>
      <c r="S304" s="17" t="n">
        <v>0</v>
      </c>
      <c r="T304" s="17" t="n">
        <v>0</v>
      </c>
      <c r="U304" s="18" t="n">
        <v>0</v>
      </c>
    </row>
    <row r="305">
      <c r="A305" s="13" t="n">
        <v>44910</v>
      </c>
      <c r="B305" s="4">
        <f>TEXT(A305,"ddd")</f>
        <v/>
      </c>
      <c r="C305" s="14" t="n">
        <v>1818.7</v>
      </c>
      <c r="D305" s="14" t="n">
        <v>1819.7</v>
      </c>
      <c r="E305" s="14" t="n">
        <v>1782</v>
      </c>
      <c r="F305" s="14" t="n">
        <v>1787.8</v>
      </c>
      <c r="G305" s="9">
        <f>F305-F304</f>
        <v/>
      </c>
      <c r="H305" s="10">
        <f>IF(F304=0,0,G305/F304)</f>
        <v/>
      </c>
      <c r="I305" s="8">
        <f>D305-E305</f>
        <v/>
      </c>
      <c r="J305" s="4">
        <f>IF(F305&gt;C305,"Up",IF(F305&lt;C305,"Down","Flat"))</f>
        <v/>
      </c>
      <c r="K305" s="14" t="n">
        <v>27.79</v>
      </c>
      <c r="L305" s="15" t="n">
        <v>54.83</v>
      </c>
      <c r="M305" s="14" t="n">
        <v>1779.41</v>
      </c>
      <c r="N305" s="14" t="n">
        <v>1747.15</v>
      </c>
      <c r="O305" s="14" t="n">
        <v>1766.09</v>
      </c>
      <c r="P305" s="4">
        <f>IF(O305="","",IF(F305&gt;O305,"Above","Below"))</f>
        <v/>
      </c>
      <c r="Q305" s="16" t="n">
        <v>185317</v>
      </c>
      <c r="R305" s="17" t="n">
        <v>0</v>
      </c>
      <c r="S305" s="17" t="n">
        <v>0</v>
      </c>
      <c r="T305" s="17" t="n">
        <v>0</v>
      </c>
      <c r="U305" s="18" t="n">
        <v>0</v>
      </c>
    </row>
    <row r="306">
      <c r="A306" s="13" t="n">
        <v>44911</v>
      </c>
      <c r="B306" s="4">
        <f>TEXT(A306,"ddd")</f>
        <v/>
      </c>
      <c r="C306" s="14" t="n">
        <v>1786.9</v>
      </c>
      <c r="D306" s="14" t="n">
        <v>1804.2</v>
      </c>
      <c r="E306" s="14" t="n">
        <v>1783.9</v>
      </c>
      <c r="F306" s="14" t="n">
        <v>1800.2</v>
      </c>
      <c r="G306" s="9">
        <f>F306-F305</f>
        <v/>
      </c>
      <c r="H306" s="10">
        <f>IF(F305=0,0,G306/F305)</f>
        <v/>
      </c>
      <c r="I306" s="8">
        <f>D306-E306</f>
        <v/>
      </c>
      <c r="J306" s="4">
        <f>IF(F306&gt;C306,"Up",IF(F306&lt;C306,"Down","Flat"))</f>
        <v/>
      </c>
      <c r="K306" s="14" t="n">
        <v>27.26</v>
      </c>
      <c r="L306" s="15" t="n">
        <v>57.44</v>
      </c>
      <c r="M306" s="14" t="n">
        <v>1781.39</v>
      </c>
      <c r="N306" s="14" t="n">
        <v>1749.23</v>
      </c>
      <c r="O306" s="14" t="n">
        <v>1766.43</v>
      </c>
      <c r="P306" s="4">
        <f>IF(O306="","",IF(F306&gt;O306,"Above","Below"))</f>
        <v/>
      </c>
      <c r="Q306" s="16" t="n">
        <v>128751</v>
      </c>
      <c r="R306" s="17" t="n">
        <v>0</v>
      </c>
      <c r="S306" s="17" t="n">
        <v>0</v>
      </c>
      <c r="T306" s="17" t="n">
        <v>0</v>
      </c>
      <c r="U306" s="18" t="n">
        <v>0</v>
      </c>
    </row>
    <row r="307">
      <c r="A307" s="13" t="n">
        <v>44914</v>
      </c>
      <c r="B307" s="4">
        <f>TEXT(A307,"ddd")</f>
        <v/>
      </c>
      <c r="C307" s="14" t="n">
        <v>1801.6</v>
      </c>
      <c r="D307" s="14" t="n">
        <v>1808.6</v>
      </c>
      <c r="E307" s="14" t="n">
        <v>1793.2</v>
      </c>
      <c r="F307" s="14" t="n">
        <v>1797.7</v>
      </c>
      <c r="G307" s="9">
        <f>F307-F306</f>
        <v/>
      </c>
      <c r="H307" s="10">
        <f>IF(F306=0,0,G307/F306)</f>
        <v/>
      </c>
      <c r="I307" s="8">
        <f>D307-E307</f>
        <v/>
      </c>
      <c r="J307" s="4">
        <f>IF(F307&gt;C307,"Up",IF(F307&lt;C307,"Down","Flat"))</f>
        <v/>
      </c>
      <c r="K307" s="14" t="n">
        <v>26.41</v>
      </c>
      <c r="L307" s="15" t="n">
        <v>56.73</v>
      </c>
      <c r="M307" s="14" t="n">
        <v>1782.94</v>
      </c>
      <c r="N307" s="14" t="n">
        <v>1751.13</v>
      </c>
      <c r="O307" s="14" t="n">
        <v>1766.74</v>
      </c>
      <c r="P307" s="4">
        <f>IF(O307="","",IF(F307&gt;O307,"Above","Below"))</f>
        <v/>
      </c>
      <c r="Q307" s="16" t="n">
        <v>86090</v>
      </c>
      <c r="R307" s="17" t="n">
        <v>0</v>
      </c>
      <c r="S307" s="17" t="n">
        <v>0</v>
      </c>
      <c r="T307" s="17" t="n">
        <v>0</v>
      </c>
      <c r="U307" s="18" t="n">
        <v>0</v>
      </c>
    </row>
    <row r="308">
      <c r="A308" s="13" t="n">
        <v>44915</v>
      </c>
      <c r="B308" s="4">
        <f>TEXT(A308,"ddd")</f>
        <v/>
      </c>
      <c r="C308" s="14" t="n">
        <v>1796.8</v>
      </c>
      <c r="D308" s="14" t="n">
        <v>1832.4</v>
      </c>
      <c r="E308" s="14" t="n">
        <v>1793.7</v>
      </c>
      <c r="F308" s="14" t="n">
        <v>1825.4</v>
      </c>
      <c r="G308" s="9">
        <f>F308-F307</f>
        <v/>
      </c>
      <c r="H308" s="10">
        <f>IF(F307=0,0,G308/F307)</f>
        <v/>
      </c>
      <c r="I308" s="8">
        <f>D308-E308</f>
        <v/>
      </c>
      <c r="J308" s="4">
        <f>IF(F308&gt;C308,"Up",IF(F308&lt;C308,"Down","Flat"))</f>
        <v/>
      </c>
      <c r="K308" s="14" t="n">
        <v>27.29</v>
      </c>
      <c r="L308" s="15" t="n">
        <v>62.3</v>
      </c>
      <c r="M308" s="14" t="n">
        <v>1786.98</v>
      </c>
      <c r="N308" s="14" t="n">
        <v>1754.05</v>
      </c>
      <c r="O308" s="14" t="n">
        <v>1767.32</v>
      </c>
      <c r="P308" s="4">
        <f>IF(O308="","",IF(F308&gt;O308,"Above","Below"))</f>
        <v/>
      </c>
      <c r="Q308" s="16" t="n">
        <v>197496</v>
      </c>
      <c r="R308" s="17" t="n">
        <v>0</v>
      </c>
      <c r="S308" s="17" t="n">
        <v>0</v>
      </c>
      <c r="T308" s="17" t="n">
        <v>0</v>
      </c>
      <c r="U308" s="18" t="n">
        <v>0</v>
      </c>
    </row>
    <row r="309">
      <c r="A309" s="13" t="n">
        <v>44916</v>
      </c>
      <c r="B309" s="4">
        <f>TEXT(A309,"ddd")</f>
        <v/>
      </c>
      <c r="C309" s="14" t="n">
        <v>1827.9</v>
      </c>
      <c r="D309" s="14" t="n">
        <v>1833.8</v>
      </c>
      <c r="E309" s="14" t="n">
        <v>1821.3</v>
      </c>
      <c r="F309" s="14" t="n">
        <v>1825.4</v>
      </c>
      <c r="G309" s="9">
        <f>F309-F308</f>
        <v/>
      </c>
      <c r="H309" s="10">
        <f>IF(F308=0,0,G309/F308)</f>
        <v/>
      </c>
      <c r="I309" s="8">
        <f>D309-E309</f>
        <v/>
      </c>
      <c r="J309" s="4">
        <f>IF(F309&gt;C309,"Up",IF(F309&lt;C309,"Down","Flat"))</f>
        <v/>
      </c>
      <c r="K309" s="14" t="n">
        <v>26.23</v>
      </c>
      <c r="L309" s="15" t="n">
        <v>62.3</v>
      </c>
      <c r="M309" s="14" t="n">
        <v>1790.64</v>
      </c>
      <c r="N309" s="14" t="n">
        <v>1756.84</v>
      </c>
      <c r="O309" s="14" t="n">
        <v>1767.9</v>
      </c>
      <c r="P309" s="4">
        <f>IF(O309="","",IF(F309&gt;O309,"Above","Below"))</f>
        <v/>
      </c>
      <c r="Q309" s="16" t="n">
        <v>110177</v>
      </c>
      <c r="R309" s="17" t="n">
        <v>0</v>
      </c>
      <c r="S309" s="17" t="n">
        <v>0</v>
      </c>
      <c r="T309" s="17" t="n">
        <v>0</v>
      </c>
      <c r="U309" s="18" t="n">
        <v>0</v>
      </c>
    </row>
    <row r="310">
      <c r="A310" s="13" t="n">
        <v>44917</v>
      </c>
      <c r="B310" s="4">
        <f>TEXT(A310,"ddd")</f>
        <v/>
      </c>
      <c r="C310" s="14" t="n">
        <v>1823.8</v>
      </c>
      <c r="D310" s="14" t="n">
        <v>1829.3</v>
      </c>
      <c r="E310" s="14" t="n">
        <v>1792.7</v>
      </c>
      <c r="F310" s="14" t="n">
        <v>1795.3</v>
      </c>
      <c r="G310" s="9">
        <f>F310-F309</f>
        <v/>
      </c>
      <c r="H310" s="10">
        <f>IF(F309=0,0,G310/F309)</f>
        <v/>
      </c>
      <c r="I310" s="8">
        <f>D310-E310</f>
        <v/>
      </c>
      <c r="J310" s="4">
        <f>IF(F310&gt;C310,"Up",IF(F310&lt;C310,"Down","Flat"))</f>
        <v/>
      </c>
      <c r="K310" s="14" t="n">
        <v>26.97</v>
      </c>
      <c r="L310" s="15" t="n">
        <v>53.6</v>
      </c>
      <c r="M310" s="14" t="n">
        <v>1791.09</v>
      </c>
      <c r="N310" s="14" t="n">
        <v>1758.35</v>
      </c>
      <c r="O310" s="14" t="n">
        <v>1768.17</v>
      </c>
      <c r="P310" s="4">
        <f>IF(O310="","",IF(F310&gt;O310,"Above","Below"))</f>
        <v/>
      </c>
      <c r="Q310" s="16" t="n">
        <v>175774</v>
      </c>
      <c r="R310" s="17" t="n">
        <v>0</v>
      </c>
      <c r="S310" s="17" t="n">
        <v>0</v>
      </c>
      <c r="T310" s="17" t="n">
        <v>0</v>
      </c>
      <c r="U310" s="18" t="n">
        <v>0</v>
      </c>
    </row>
    <row r="311">
      <c r="A311" s="13" t="n">
        <v>44918</v>
      </c>
      <c r="B311" s="4">
        <f>TEXT(A311,"ddd")</f>
        <v/>
      </c>
      <c r="C311" s="14" t="n">
        <v>1801</v>
      </c>
      <c r="D311" s="14" t="n">
        <v>1812.2</v>
      </c>
      <c r="E311" s="14" t="n">
        <v>1798.9</v>
      </c>
      <c r="F311" s="14" t="n">
        <v>1804.2</v>
      </c>
      <c r="G311" s="9">
        <f>F311-F310</f>
        <v/>
      </c>
      <c r="H311" s="10">
        <f>IF(F310=0,0,G311/F310)</f>
        <v/>
      </c>
      <c r="I311" s="8">
        <f>D311-E311</f>
        <v/>
      </c>
      <c r="J311" s="4">
        <f>IF(F311&gt;C311,"Up",IF(F311&lt;C311,"Down","Flat"))</f>
        <v/>
      </c>
      <c r="K311" s="14" t="n">
        <v>26.25</v>
      </c>
      <c r="L311" s="15" t="n">
        <v>55.58</v>
      </c>
      <c r="M311" s="14" t="n">
        <v>1792.33</v>
      </c>
      <c r="N311" s="14" t="n">
        <v>1760.15</v>
      </c>
      <c r="O311" s="14" t="n">
        <v>1768.53</v>
      </c>
      <c r="P311" s="4">
        <f>IF(O311="","",IF(F311&gt;O311,"Above","Below"))</f>
        <v/>
      </c>
      <c r="Q311" s="16" t="n">
        <v>105457</v>
      </c>
      <c r="R311" s="17" t="n">
        <v>0</v>
      </c>
      <c r="S311" s="17" t="n">
        <v>0</v>
      </c>
      <c r="T311" s="17" t="n">
        <v>0</v>
      </c>
      <c r="U311" s="18" t="n">
        <v>0</v>
      </c>
    </row>
    <row r="312">
      <c r="A312" s="13" t="n">
        <v>44922</v>
      </c>
      <c r="B312" s="4">
        <f>TEXT(A312,"ddd")</f>
        <v/>
      </c>
      <c r="C312" s="14" t="n">
        <v>1808.2</v>
      </c>
      <c r="D312" s="14" t="n">
        <v>1841.9</v>
      </c>
      <c r="E312" s="14" t="n">
        <v>1808</v>
      </c>
      <c r="F312" s="14" t="n">
        <v>1823.1</v>
      </c>
      <c r="G312" s="9">
        <f>F312-F311</f>
        <v/>
      </c>
      <c r="H312" s="10">
        <f>IF(F311=0,0,G312/F311)</f>
        <v/>
      </c>
      <c r="I312" s="8">
        <f>D312-E312</f>
        <v/>
      </c>
      <c r="J312" s="4">
        <f>IF(F312&gt;C312,"Up",IF(F312&lt;C312,"Down","Flat"))</f>
        <v/>
      </c>
      <c r="K312" s="14" t="n">
        <v>27.07</v>
      </c>
      <c r="L312" s="15" t="n">
        <v>59.52</v>
      </c>
      <c r="M312" s="14" t="n">
        <v>1795.26</v>
      </c>
      <c r="N312" s="14" t="n">
        <v>1762.62</v>
      </c>
      <c r="O312" s="14" t="n">
        <v>1769.07</v>
      </c>
      <c r="P312" s="4">
        <f>IF(O312="","",IF(F312&gt;O312,"Above","Below"))</f>
        <v/>
      </c>
      <c r="Q312" s="16" t="n">
        <v>159616</v>
      </c>
      <c r="R312" s="17" t="n">
        <v>0</v>
      </c>
      <c r="S312" s="17" t="n">
        <v>0</v>
      </c>
      <c r="T312" s="17" t="n">
        <v>0</v>
      </c>
      <c r="U312" s="18" t="n">
        <v>0</v>
      </c>
    </row>
    <row r="313">
      <c r="A313" s="13" t="n">
        <v>44923</v>
      </c>
      <c r="B313" s="4">
        <f>TEXT(A313,"ddd")</f>
        <v/>
      </c>
      <c r="C313" s="14" t="n">
        <v>1822.4</v>
      </c>
      <c r="D313" s="14" t="n">
        <v>1822.8</v>
      </c>
      <c r="E313" s="14" t="n">
        <v>1804.2</v>
      </c>
      <c r="F313" s="14" t="n">
        <v>1815.8</v>
      </c>
      <c r="G313" s="9">
        <f>F313-F312</f>
        <v/>
      </c>
      <c r="H313" s="10">
        <f>IF(F312=0,0,G313/F312)</f>
        <v/>
      </c>
      <c r="I313" s="8">
        <f>D313-E313</f>
        <v/>
      </c>
      <c r="J313" s="4">
        <f>IF(F313&gt;C313,"Up",IF(F313&lt;C313,"Down","Flat"))</f>
        <v/>
      </c>
      <c r="K313" s="14" t="n">
        <v>26.49</v>
      </c>
      <c r="L313" s="15" t="n">
        <v>57.4</v>
      </c>
      <c r="M313" s="14" t="n">
        <v>1797.22</v>
      </c>
      <c r="N313" s="14" t="n">
        <v>1764.7</v>
      </c>
      <c r="O313" s="14" t="n">
        <v>1769.54</v>
      </c>
      <c r="P313" s="4">
        <f>IF(O313="","",IF(F313&gt;O313,"Above","Below"))</f>
        <v/>
      </c>
      <c r="Q313" s="16" t="n">
        <v>118076</v>
      </c>
      <c r="R313" s="17" t="n">
        <v>0</v>
      </c>
      <c r="S313" s="17" t="n">
        <v>0</v>
      </c>
      <c r="T313" s="17" t="n">
        <v>0</v>
      </c>
      <c r="U313" s="18" t="n">
        <v>0</v>
      </c>
    </row>
    <row r="314">
      <c r="A314" s="13" t="n">
        <v>44924</v>
      </c>
      <c r="B314" s="4">
        <f>TEXT(A314,"ddd")</f>
        <v/>
      </c>
      <c r="C314" s="14" t="n">
        <v>1812.3</v>
      </c>
      <c r="D314" s="14" t="n">
        <v>1827.3</v>
      </c>
      <c r="E314" s="14" t="n">
        <v>1811.2</v>
      </c>
      <c r="F314" s="14" t="n">
        <v>1826</v>
      </c>
      <c r="G314" s="9">
        <f>F314-F313</f>
        <v/>
      </c>
      <c r="H314" s="10">
        <f>IF(F313=0,0,G314/F313)</f>
        <v/>
      </c>
      <c r="I314" s="8">
        <f>D314-E314</f>
        <v/>
      </c>
      <c r="J314" s="4">
        <f>IF(F314&gt;C314,"Up",IF(F314&lt;C314,"Down","Flat"))</f>
        <v/>
      </c>
      <c r="K314" s="14" t="n">
        <v>25.75</v>
      </c>
      <c r="L314" s="15" t="n">
        <v>59.57</v>
      </c>
      <c r="M314" s="14" t="n">
        <v>1799.96</v>
      </c>
      <c r="N314" s="14" t="n">
        <v>1767.11</v>
      </c>
      <c r="O314" s="14" t="n">
        <v>1770.1</v>
      </c>
      <c r="P314" s="4">
        <f>IF(O314="","",IF(F314&gt;O314,"Above","Below"))</f>
        <v/>
      </c>
      <c r="Q314" s="16" t="n">
        <v>105992</v>
      </c>
      <c r="R314" s="17" t="n">
        <v>0</v>
      </c>
      <c r="S314" s="17" t="n">
        <v>0</v>
      </c>
      <c r="T314" s="17" t="n">
        <v>0</v>
      </c>
      <c r="U314" s="18" t="n">
        <v>0</v>
      </c>
    </row>
    <row r="315">
      <c r="A315" s="13" t="n">
        <v>44925</v>
      </c>
      <c r="B315" s="4">
        <f>TEXT(A315,"ddd")</f>
        <v/>
      </c>
      <c r="C315" s="14" t="n">
        <v>1821.8</v>
      </c>
      <c r="D315" s="14" t="n">
        <v>1832.4</v>
      </c>
      <c r="E315" s="14" t="n">
        <v>1819.8</v>
      </c>
      <c r="F315" s="14" t="n">
        <v>1826.2</v>
      </c>
      <c r="G315" s="9">
        <f>F315-F314</f>
        <v/>
      </c>
      <c r="H315" s="10">
        <f>IF(F314=0,0,G315/F314)</f>
        <v/>
      </c>
      <c r="I315" s="8">
        <f>D315-E315</f>
        <v/>
      </c>
      <c r="J315" s="4">
        <f>IF(F315&gt;C315,"Up",IF(F315&lt;C315,"Down","Flat"))</f>
        <v/>
      </c>
      <c r="K315" s="14" t="n">
        <v>24.81</v>
      </c>
      <c r="L315" s="15" t="n">
        <v>59.61</v>
      </c>
      <c r="M315" s="14" t="n">
        <v>1802.46</v>
      </c>
      <c r="N315" s="14" t="n">
        <v>1769.42</v>
      </c>
      <c r="O315" s="14" t="n">
        <v>1770.66</v>
      </c>
      <c r="P315" s="4">
        <f>IF(O315="","",IF(F315&gt;O315,"Above","Below"))</f>
        <v/>
      </c>
      <c r="Q315" s="16" t="n">
        <v>107496</v>
      </c>
      <c r="R315" s="17" t="n">
        <v>0</v>
      </c>
      <c r="S315" s="17" t="n">
        <v>0</v>
      </c>
      <c r="T315" s="17" t="n">
        <v>0</v>
      </c>
      <c r="U315" s="18" t="n">
        <v>0</v>
      </c>
    </row>
    <row r="316">
      <c r="A316" s="13" t="n">
        <v>44929</v>
      </c>
      <c r="B316" s="4">
        <f>TEXT(A316,"ddd")</f>
        <v/>
      </c>
      <c r="C316" s="14" t="n">
        <v>1831.8</v>
      </c>
      <c r="D316" s="14" t="n">
        <v>1856.6</v>
      </c>
      <c r="E316" s="14" t="n">
        <v>1831.3</v>
      </c>
      <c r="F316" s="14" t="n">
        <v>1846.1</v>
      </c>
      <c r="G316" s="9">
        <f>F316-F315</f>
        <v/>
      </c>
      <c r="H316" s="10">
        <f>IF(F315=0,0,G316/F315)</f>
        <v/>
      </c>
      <c r="I316" s="8">
        <f>D316-E316</f>
        <v/>
      </c>
      <c r="J316" s="4">
        <f>IF(F316&gt;C316,"Up",IF(F316&lt;C316,"Down","Flat"))</f>
        <v/>
      </c>
      <c r="K316" s="14" t="n">
        <v>25.21</v>
      </c>
      <c r="L316" s="15" t="n">
        <v>63.77</v>
      </c>
      <c r="M316" s="14" t="n">
        <v>1806.62</v>
      </c>
      <c r="N316" s="14" t="n">
        <v>1772.43</v>
      </c>
      <c r="O316" s="14" t="n">
        <v>1771.41</v>
      </c>
      <c r="P316" s="4">
        <f>IF(O316="","",IF(F316&gt;O316,"Above","Below"))</f>
        <v/>
      </c>
      <c r="Q316" s="16" t="n">
        <v>212272</v>
      </c>
      <c r="R316" s="17" t="n">
        <v>0</v>
      </c>
      <c r="S316" s="17" t="n">
        <v>0</v>
      </c>
      <c r="T316" s="17" t="n">
        <v>0</v>
      </c>
      <c r="U316" s="18" t="n">
        <v>0</v>
      </c>
    </row>
    <row r="317">
      <c r="A317" s="13" t="n">
        <v>44930</v>
      </c>
      <c r="B317" s="4">
        <f>TEXT(A317,"ddd")</f>
        <v/>
      </c>
      <c r="C317" s="14" t="n">
        <v>1845.2</v>
      </c>
      <c r="D317" s="14" t="n">
        <v>1871.3</v>
      </c>
      <c r="E317" s="14" t="n">
        <v>1842</v>
      </c>
      <c r="F317" s="14" t="n">
        <v>1859</v>
      </c>
      <c r="G317" s="9">
        <f>F317-F316</f>
        <v/>
      </c>
      <c r="H317" s="10">
        <f>IF(F316=0,0,G317/F316)</f>
        <v/>
      </c>
      <c r="I317" s="8">
        <f>D317-E317</f>
        <v/>
      </c>
      <c r="J317" s="4">
        <f>IF(F317&gt;C317,"Up",IF(F317&lt;C317,"Down","Flat"))</f>
        <v/>
      </c>
      <c r="K317" s="14" t="n">
        <v>25.5</v>
      </c>
      <c r="L317" s="15" t="n">
        <v>66.20999999999999</v>
      </c>
      <c r="M317" s="14" t="n">
        <v>1811.61</v>
      </c>
      <c r="N317" s="14" t="n">
        <v>1775.83</v>
      </c>
      <c r="O317" s="14" t="n">
        <v>1772.28</v>
      </c>
      <c r="P317" s="4">
        <f>IF(O317="","",IF(F317&gt;O317,"Above","Below"))</f>
        <v/>
      </c>
      <c r="Q317" s="16" t="n">
        <v>198354</v>
      </c>
      <c r="R317" s="17" t="n">
        <v>0</v>
      </c>
      <c r="S317" s="17" t="n">
        <v>0</v>
      </c>
      <c r="T317" s="17" t="n">
        <v>0</v>
      </c>
      <c r="U317" s="18" t="n">
        <v>0</v>
      </c>
    </row>
    <row r="318">
      <c r="A318" s="13" t="n">
        <v>44931</v>
      </c>
      <c r="B318" s="4">
        <f>TEXT(A318,"ddd")</f>
        <v/>
      </c>
      <c r="C318" s="14" t="n">
        <v>1861.2</v>
      </c>
      <c r="D318" s="14" t="n">
        <v>1864.3</v>
      </c>
      <c r="E318" s="14" t="n">
        <v>1829.9</v>
      </c>
      <c r="F318" s="14" t="n">
        <v>1840.6</v>
      </c>
      <c r="G318" s="9">
        <f>F318-F317</f>
        <v/>
      </c>
      <c r="H318" s="10">
        <f>IF(F317=0,0,G318/F317)</f>
        <v/>
      </c>
      <c r="I318" s="8">
        <f>D318-E318</f>
        <v/>
      </c>
      <c r="J318" s="4">
        <f>IF(F318&gt;C318,"Up",IF(F318&lt;C318,"Down","Flat"))</f>
        <v/>
      </c>
      <c r="K318" s="14" t="n">
        <v>26.13</v>
      </c>
      <c r="L318" s="15" t="n">
        <v>60.02</v>
      </c>
      <c r="M318" s="14" t="n">
        <v>1814.37</v>
      </c>
      <c r="N318" s="14" t="n">
        <v>1778.37</v>
      </c>
      <c r="O318" s="14" t="n">
        <v>1772.96</v>
      </c>
      <c r="P318" s="4">
        <f>IF(O318="","",IF(F318&gt;O318,"Above","Below"))</f>
        <v/>
      </c>
      <c r="Q318" s="16" t="n">
        <v>188603</v>
      </c>
      <c r="R318" s="17" t="n">
        <v>0</v>
      </c>
      <c r="S318" s="17" t="n">
        <v>0</v>
      </c>
      <c r="T318" s="17" t="n">
        <v>0</v>
      </c>
      <c r="U318" s="18" t="n">
        <v>0</v>
      </c>
    </row>
    <row r="319">
      <c r="A319" s="13" t="n">
        <v>44932</v>
      </c>
      <c r="B319" s="4">
        <f>TEXT(A319,"ddd")</f>
        <v/>
      </c>
      <c r="C319" s="14" t="n">
        <v>1835.9</v>
      </c>
      <c r="D319" s="14" t="n">
        <v>1875.2</v>
      </c>
      <c r="E319" s="14" t="n">
        <v>1835.2</v>
      </c>
      <c r="F319" s="14" t="n">
        <v>1869.7</v>
      </c>
      <c r="G319" s="9">
        <f>F319-F318</f>
        <v/>
      </c>
      <c r="H319" s="10">
        <f>IF(F318=0,0,G319/F318)</f>
        <v/>
      </c>
      <c r="I319" s="8">
        <f>D319-E319</f>
        <v/>
      </c>
      <c r="J319" s="4">
        <f>IF(F319&gt;C319,"Up",IF(F319&lt;C319,"Down","Flat"))</f>
        <v/>
      </c>
      <c r="K319" s="14" t="n">
        <v>27.12</v>
      </c>
      <c r="L319" s="15" t="n">
        <v>65.51000000000001</v>
      </c>
      <c r="M319" s="14" t="n">
        <v>1819.64</v>
      </c>
      <c r="N319" s="14" t="n">
        <v>1781.95</v>
      </c>
      <c r="O319" s="14" t="n">
        <v>1773.92</v>
      </c>
      <c r="P319" s="4">
        <f>IF(O319="","",IF(F319&gt;O319,"Above","Below"))</f>
        <v/>
      </c>
      <c r="Q319" s="16" t="n">
        <v>215367</v>
      </c>
      <c r="R319" s="17" t="n">
        <v>0</v>
      </c>
      <c r="S319" s="17" t="n">
        <v>0</v>
      </c>
      <c r="T319" s="17" t="n">
        <v>0</v>
      </c>
      <c r="U319" s="18" t="n">
        <v>0</v>
      </c>
    </row>
    <row r="320">
      <c r="A320" s="13" t="n">
        <v>44935</v>
      </c>
      <c r="B320" s="4">
        <f>TEXT(A320,"ddd")</f>
        <v/>
      </c>
      <c r="C320" s="14" t="n">
        <v>1872.8</v>
      </c>
      <c r="D320" s="14" t="n">
        <v>1886.4</v>
      </c>
      <c r="E320" s="14" t="n">
        <v>1869.3</v>
      </c>
      <c r="F320" s="14" t="n">
        <v>1877.8</v>
      </c>
      <c r="G320" s="9">
        <f>F320-F319</f>
        <v/>
      </c>
      <c r="H320" s="10">
        <f>IF(F319=0,0,G320/F319)</f>
        <v/>
      </c>
      <c r="I320" s="8">
        <f>D320-E320</f>
        <v/>
      </c>
      <c r="J320" s="4">
        <f>IF(F320&gt;C320,"Up",IF(F320&lt;C320,"Down","Flat"))</f>
        <v/>
      </c>
      <c r="K320" s="14" t="n">
        <v>26.41</v>
      </c>
      <c r="L320" s="15" t="n">
        <v>66.87</v>
      </c>
      <c r="M320" s="14" t="n">
        <v>1825.18</v>
      </c>
      <c r="N320" s="14" t="n">
        <v>1785.71</v>
      </c>
      <c r="O320" s="14" t="n">
        <v>1774.96</v>
      </c>
      <c r="P320" s="4">
        <f>IF(O320="","",IF(F320&gt;O320,"Above","Below"))</f>
        <v/>
      </c>
      <c r="Q320" s="16" t="n">
        <v>204550</v>
      </c>
      <c r="R320" s="17" t="n">
        <v>0</v>
      </c>
      <c r="S320" s="17" t="n">
        <v>0</v>
      </c>
      <c r="T320" s="17" t="n">
        <v>0</v>
      </c>
      <c r="U320" s="18" t="n">
        <v>0</v>
      </c>
    </row>
    <row r="321">
      <c r="A321" s="13" t="n">
        <v>44936</v>
      </c>
      <c r="B321" s="4">
        <f>TEXT(A321,"ddd")</f>
        <v/>
      </c>
      <c r="C321" s="14" t="n">
        <v>1875.7</v>
      </c>
      <c r="D321" s="14" t="n">
        <v>1885.2</v>
      </c>
      <c r="E321" s="14" t="n">
        <v>1872</v>
      </c>
      <c r="F321" s="14" t="n">
        <v>1876.5</v>
      </c>
      <c r="G321" s="9">
        <f>F321-F320</f>
        <v/>
      </c>
      <c r="H321" s="10">
        <f>IF(F320=0,0,G321/F320)</f>
        <v/>
      </c>
      <c r="I321" s="8">
        <f>D321-E321</f>
        <v/>
      </c>
      <c r="J321" s="4">
        <f>IF(F321&gt;C321,"Up",IF(F321&lt;C321,"Down","Flat"))</f>
        <v/>
      </c>
      <c r="K321" s="14" t="n">
        <v>25.47</v>
      </c>
      <c r="L321" s="15" t="n">
        <v>66.42</v>
      </c>
      <c r="M321" s="14" t="n">
        <v>1830.06</v>
      </c>
      <c r="N321" s="14" t="n">
        <v>1789.27</v>
      </c>
      <c r="O321" s="14" t="n">
        <v>1775.97</v>
      </c>
      <c r="P321" s="4">
        <f>IF(O321="","",IF(F321&gt;O321,"Above","Below"))</f>
        <v/>
      </c>
      <c r="Q321" s="16" t="n">
        <v>170514</v>
      </c>
      <c r="R321" s="17" t="n">
        <v>0</v>
      </c>
      <c r="S321" s="17" t="n">
        <v>0</v>
      </c>
      <c r="T321" s="17" t="n">
        <v>0</v>
      </c>
      <c r="U321" s="18" t="n">
        <v>0</v>
      </c>
    </row>
    <row r="322">
      <c r="A322" s="13" t="n">
        <v>44937</v>
      </c>
      <c r="B322" s="4">
        <f>TEXT(A322,"ddd")</f>
        <v/>
      </c>
      <c r="C322" s="14" t="n">
        <v>1881.3</v>
      </c>
      <c r="D322" s="14" t="n">
        <v>1890.9</v>
      </c>
      <c r="E322" s="14" t="n">
        <v>1870.9</v>
      </c>
      <c r="F322" s="14" t="n">
        <v>1878.9</v>
      </c>
      <c r="G322" s="9">
        <f>F322-F321</f>
        <v/>
      </c>
      <c r="H322" s="10">
        <f>IF(F321=0,0,G322/F321)</f>
        <v/>
      </c>
      <c r="I322" s="8">
        <f>D322-E322</f>
        <v/>
      </c>
      <c r="J322" s="4">
        <f>IF(F322&gt;C322,"Up",IF(F322&lt;C322,"Down","Flat"))</f>
        <v/>
      </c>
      <c r="K322" s="14" t="n">
        <v>25.07</v>
      </c>
      <c r="L322" s="15" t="n">
        <v>66.87</v>
      </c>
      <c r="M322" s="14" t="n">
        <v>1834.72</v>
      </c>
      <c r="N322" s="14" t="n">
        <v>1792.78</v>
      </c>
      <c r="O322" s="14" t="n">
        <v>1776.99</v>
      </c>
      <c r="P322" s="4">
        <f>IF(O322="","",IF(F322&gt;O322,"Above","Below"))</f>
        <v/>
      </c>
      <c r="Q322" s="16" t="n">
        <v>222250</v>
      </c>
      <c r="R322" s="17" t="n">
        <v>0</v>
      </c>
      <c r="S322" s="17" t="n">
        <v>0</v>
      </c>
      <c r="T322" s="17" t="n">
        <v>0</v>
      </c>
      <c r="U322" s="18" t="n">
        <v>0</v>
      </c>
    </row>
    <row r="323">
      <c r="A323" s="13" t="n">
        <v>44938</v>
      </c>
      <c r="B323" s="4">
        <f>TEXT(A323,"ddd")</f>
        <v/>
      </c>
      <c r="C323" s="14" t="n">
        <v>1879.7</v>
      </c>
      <c r="D323" s="14" t="n">
        <v>1906.5</v>
      </c>
      <c r="E323" s="14" t="n">
        <v>1872.4</v>
      </c>
      <c r="F323" s="14" t="n">
        <v>1898.8</v>
      </c>
      <c r="G323" s="9">
        <f>F323-F322</f>
        <v/>
      </c>
      <c r="H323" s="10">
        <f>IF(F322=0,0,G323/F322)</f>
        <v/>
      </c>
      <c r="I323" s="8">
        <f>D323-E323</f>
        <v/>
      </c>
      <c r="J323" s="4">
        <f>IF(F323&gt;C323,"Up",IF(F323&lt;C323,"Down","Flat"))</f>
        <v/>
      </c>
      <c r="K323" s="14" t="n">
        <v>25.72</v>
      </c>
      <c r="L323" s="15" t="n">
        <v>70.39</v>
      </c>
      <c r="M323" s="14" t="n">
        <v>1840.82</v>
      </c>
      <c r="N323" s="14" t="n">
        <v>1796.94</v>
      </c>
      <c r="O323" s="14" t="n">
        <v>1778.2</v>
      </c>
      <c r="P323" s="4">
        <f>IF(O323="","",IF(F323&gt;O323,"Above","Below"))</f>
        <v/>
      </c>
      <c r="Q323" s="16" t="n">
        <v>265174</v>
      </c>
      <c r="R323" s="17" t="n">
        <v>0</v>
      </c>
      <c r="S323" s="17" t="n">
        <v>0</v>
      </c>
      <c r="T323" s="17" t="n">
        <v>0</v>
      </c>
      <c r="U323" s="18" t="n">
        <v>0</v>
      </c>
    </row>
    <row r="324">
      <c r="A324" s="13" t="n">
        <v>44939</v>
      </c>
      <c r="B324" s="4">
        <f>TEXT(A324,"ddd")</f>
        <v/>
      </c>
      <c r="C324" s="14" t="n">
        <v>1898.8</v>
      </c>
      <c r="D324" s="14" t="n">
        <v>1925.3</v>
      </c>
      <c r="E324" s="14" t="n">
        <v>1895.1</v>
      </c>
      <c r="F324" s="14" t="n">
        <v>1921.7</v>
      </c>
      <c r="G324" s="9">
        <f>F324-F323</f>
        <v/>
      </c>
      <c r="H324" s="10">
        <f>IF(F323=0,0,G324/F323)</f>
        <v/>
      </c>
      <c r="I324" s="8">
        <f>D324-E324</f>
        <v/>
      </c>
      <c r="J324" s="4">
        <f>IF(F324&gt;C324,"Up",IF(F324&lt;C324,"Down","Flat"))</f>
        <v/>
      </c>
      <c r="K324" s="14" t="n">
        <v>26.04</v>
      </c>
      <c r="L324" s="15" t="n">
        <v>73.83</v>
      </c>
      <c r="M324" s="14" t="n">
        <v>1848.52</v>
      </c>
      <c r="N324" s="14" t="n">
        <v>1801.83</v>
      </c>
      <c r="O324" s="14" t="n">
        <v>1779.63</v>
      </c>
      <c r="P324" s="4">
        <f>IF(O324="","",IF(F324&gt;O324,"Above","Below"))</f>
        <v/>
      </c>
      <c r="Q324" s="16" t="n">
        <v>247878</v>
      </c>
      <c r="R324" s="17" t="n">
        <v>0</v>
      </c>
      <c r="S324" s="17" t="n">
        <v>0</v>
      </c>
      <c r="T324" s="17" t="n">
        <v>0</v>
      </c>
      <c r="U324" s="18" t="n">
        <v>0</v>
      </c>
    </row>
    <row r="325">
      <c r="A325" s="13" t="n">
        <v>44943</v>
      </c>
      <c r="B325" s="4">
        <f>TEXT(A325,"ddd")</f>
        <v/>
      </c>
      <c r="C325" s="14" t="n">
        <v>1923.8</v>
      </c>
      <c r="D325" s="14" t="n">
        <v>1931.8</v>
      </c>
      <c r="E325" s="14" t="n">
        <v>1906.2</v>
      </c>
      <c r="F325" s="14" t="n">
        <v>1909.9</v>
      </c>
      <c r="G325" s="9">
        <f>F325-F324</f>
        <v/>
      </c>
      <c r="H325" s="10">
        <f>IF(F324=0,0,G325/F324)</f>
        <v/>
      </c>
      <c r="I325" s="8">
        <f>D325-E325</f>
        <v/>
      </c>
      <c r="J325" s="4">
        <f>IF(F325&gt;C325,"Up",IF(F325&lt;C325,"Down","Flat"))</f>
        <v/>
      </c>
      <c r="K325" s="14" t="n">
        <v>26.01</v>
      </c>
      <c r="L325" s="15" t="n">
        <v>69.34999999999999</v>
      </c>
      <c r="M325" s="14" t="n">
        <v>1854.37</v>
      </c>
      <c r="N325" s="14" t="n">
        <v>1806.07</v>
      </c>
      <c r="O325" s="14" t="n">
        <v>1780.93</v>
      </c>
      <c r="P325" s="4">
        <f>IF(O325="","",IF(F325&gt;O325,"Above","Below"))</f>
        <v/>
      </c>
      <c r="Q325" s="16" t="n">
        <v>268368</v>
      </c>
      <c r="R325" s="17" t="n">
        <v>0</v>
      </c>
      <c r="S325" s="17" t="n">
        <v>0</v>
      </c>
      <c r="T325" s="17" t="n">
        <v>0</v>
      </c>
      <c r="U325" s="18" t="n">
        <v>0</v>
      </c>
    </row>
    <row r="326">
      <c r="A326" s="13" t="n">
        <v>44944</v>
      </c>
      <c r="B326" s="4">
        <f>TEXT(A326,"ddd")</f>
        <v/>
      </c>
      <c r="C326" s="14" t="n">
        <v>1911.1</v>
      </c>
      <c r="D326" s="14" t="n">
        <v>1929.8</v>
      </c>
      <c r="E326" s="14" t="n">
        <v>1898.6</v>
      </c>
      <c r="F326" s="14" t="n">
        <v>1907</v>
      </c>
      <c r="G326" s="9">
        <f>F326-F325</f>
        <v/>
      </c>
      <c r="H326" s="10">
        <f>IF(F325=0,0,G326/F325)</f>
        <v/>
      </c>
      <c r="I326" s="8">
        <f>D326-E326</f>
        <v/>
      </c>
      <c r="J326" s="4">
        <f>IF(F326&gt;C326,"Up",IF(F326&lt;C326,"Down","Flat"))</f>
        <v/>
      </c>
      <c r="K326" s="14" t="n">
        <v>26.38</v>
      </c>
      <c r="L326" s="15" t="n">
        <v>68.26000000000001</v>
      </c>
      <c r="M326" s="14" t="n">
        <v>1859.38</v>
      </c>
      <c r="N326" s="14" t="n">
        <v>1810.03</v>
      </c>
      <c r="O326" s="14" t="n">
        <v>1782.18</v>
      </c>
      <c r="P326" s="4">
        <f>IF(O326="","",IF(F326&gt;O326,"Above","Below"))</f>
        <v/>
      </c>
      <c r="Q326" s="16" t="n">
        <v>218967</v>
      </c>
      <c r="R326" s="17" t="n">
        <v>0</v>
      </c>
      <c r="S326" s="17" t="n">
        <v>0</v>
      </c>
      <c r="T326" s="17" t="n">
        <v>0</v>
      </c>
      <c r="U326" s="18" t="n">
        <v>0</v>
      </c>
    </row>
    <row r="327">
      <c r="A327" s="13" t="n">
        <v>44945</v>
      </c>
      <c r="B327" s="4">
        <f>TEXT(A327,"ddd")</f>
        <v/>
      </c>
      <c r="C327" s="14" t="n">
        <v>1907</v>
      </c>
      <c r="D327" s="14" t="n">
        <v>1936.9</v>
      </c>
      <c r="E327" s="14" t="n">
        <v>1902</v>
      </c>
      <c r="F327" s="14" t="n">
        <v>1923.9</v>
      </c>
      <c r="G327" s="9">
        <f>F327-F326</f>
        <v/>
      </c>
      <c r="H327" s="10">
        <f>IF(F326=0,0,G327/F326)</f>
        <v/>
      </c>
      <c r="I327" s="8">
        <f>D327-E327</f>
        <v/>
      </c>
      <c r="J327" s="4">
        <f>IF(F327&gt;C327,"Up",IF(F327&lt;C327,"Down","Flat"))</f>
        <v/>
      </c>
      <c r="K327" s="14" t="n">
        <v>26.99</v>
      </c>
      <c r="L327" s="15" t="n">
        <v>71.12</v>
      </c>
      <c r="M327" s="14" t="n">
        <v>1865.52</v>
      </c>
      <c r="N327" s="14" t="n">
        <v>1814.49</v>
      </c>
      <c r="O327" s="14" t="n">
        <v>1783.59</v>
      </c>
      <c r="P327" s="4">
        <f>IF(O327="","",IF(F327&gt;O327,"Above","Below"))</f>
        <v/>
      </c>
      <c r="Q327" s="16" t="n">
        <v>214246</v>
      </c>
      <c r="R327" s="17" t="n">
        <v>0</v>
      </c>
      <c r="S327" s="17" t="n">
        <v>0</v>
      </c>
      <c r="T327" s="17" t="n">
        <v>0</v>
      </c>
      <c r="U327" s="18" t="n">
        <v>0</v>
      </c>
    </row>
    <row r="328">
      <c r="A328" s="13" t="n">
        <v>44946</v>
      </c>
      <c r="B328" s="4">
        <f>TEXT(A328,"ddd")</f>
        <v/>
      </c>
      <c r="C328" s="14" t="n">
        <v>1933.7</v>
      </c>
      <c r="D328" s="14" t="n">
        <v>1939</v>
      </c>
      <c r="E328" s="14" t="n">
        <v>1922</v>
      </c>
      <c r="F328" s="14" t="n">
        <v>1928.2</v>
      </c>
      <c r="G328" s="9">
        <f>F328-F327</f>
        <v/>
      </c>
      <c r="H328" s="10">
        <f>IF(F327=0,0,G328/F327)</f>
        <v/>
      </c>
      <c r="I328" s="8">
        <f>D328-E328</f>
        <v/>
      </c>
      <c r="J328" s="4">
        <f>IF(F328&gt;C328,"Up",IF(F328&lt;C328,"Down","Flat"))</f>
        <v/>
      </c>
      <c r="K328" s="14" t="n">
        <v>26.27</v>
      </c>
      <c r="L328" s="15" t="n">
        <v>71.81999999999999</v>
      </c>
      <c r="M328" s="14" t="n">
        <v>1871.49</v>
      </c>
      <c r="N328" s="14" t="n">
        <v>1818.95</v>
      </c>
      <c r="O328" s="14" t="n">
        <v>1785.03</v>
      </c>
      <c r="P328" s="4">
        <f>IF(O328="","",IF(F328&gt;O328,"Above","Below"))</f>
        <v/>
      </c>
      <c r="Q328" s="16" t="n">
        <v>165272</v>
      </c>
      <c r="R328" s="17" t="n">
        <v>0</v>
      </c>
      <c r="S328" s="17" t="n">
        <v>0</v>
      </c>
      <c r="T328" s="17" t="n">
        <v>0</v>
      </c>
      <c r="U328" s="18" t="n">
        <v>0</v>
      </c>
    </row>
    <row r="329">
      <c r="A329" s="13" t="n">
        <v>44949</v>
      </c>
      <c r="B329" s="4">
        <f>TEXT(A329,"ddd")</f>
        <v/>
      </c>
      <c r="C329" s="14" t="n">
        <v>1928.4</v>
      </c>
      <c r="D329" s="14" t="n">
        <v>1936.7</v>
      </c>
      <c r="E329" s="14" t="n">
        <v>1912.5</v>
      </c>
      <c r="F329" s="14" t="n">
        <v>1928.6</v>
      </c>
      <c r="G329" s="9">
        <f>F329-F328</f>
        <v/>
      </c>
      <c r="H329" s="10">
        <f>IF(F328=0,0,G329/F328)</f>
        <v/>
      </c>
      <c r="I329" s="8">
        <f>D329-E329</f>
        <v/>
      </c>
      <c r="J329" s="4">
        <f>IF(F329&gt;C329,"Up",IF(F329&lt;C329,"Down","Flat"))</f>
        <v/>
      </c>
      <c r="K329" s="14" t="n">
        <v>26.13</v>
      </c>
      <c r="L329" s="15" t="n">
        <v>71.89</v>
      </c>
      <c r="M329" s="14" t="n">
        <v>1876.93</v>
      </c>
      <c r="N329" s="14" t="n">
        <v>1823.25</v>
      </c>
      <c r="O329" s="14" t="n">
        <v>1786.46</v>
      </c>
      <c r="P329" s="4">
        <f>IF(O329="","",IF(F329&gt;O329,"Above","Below"))</f>
        <v/>
      </c>
      <c r="Q329" s="16" t="n">
        <v>190094</v>
      </c>
      <c r="R329" s="17" t="n">
        <v>0</v>
      </c>
      <c r="S329" s="17" t="n">
        <v>0</v>
      </c>
      <c r="T329" s="17" t="n">
        <v>0</v>
      </c>
      <c r="U329" s="18" t="n">
        <v>0</v>
      </c>
    </row>
    <row r="330">
      <c r="A330" s="13" t="n">
        <v>44950</v>
      </c>
      <c r="B330" s="4">
        <f>TEXT(A330,"ddd")</f>
        <v/>
      </c>
      <c r="C330" s="14" t="n">
        <v>1932</v>
      </c>
      <c r="D330" s="14" t="n">
        <v>1943.8</v>
      </c>
      <c r="E330" s="14" t="n">
        <v>1918.2</v>
      </c>
      <c r="F330" s="14" t="n">
        <v>1935.4</v>
      </c>
      <c r="G330" s="9">
        <f>F330-F329</f>
        <v/>
      </c>
      <c r="H330" s="10">
        <f>IF(F329=0,0,G330/F329)</f>
        <v/>
      </c>
      <c r="I330" s="8">
        <f>D330-E330</f>
        <v/>
      </c>
      <c r="J330" s="4">
        <f>IF(F330&gt;C330,"Up",IF(F330&lt;C330,"Down","Flat"))</f>
        <v/>
      </c>
      <c r="K330" s="14" t="n">
        <v>26.09</v>
      </c>
      <c r="L330" s="15" t="n">
        <v>73.06999999999999</v>
      </c>
      <c r="M330" s="14" t="n">
        <v>1882.5</v>
      </c>
      <c r="N330" s="14" t="n">
        <v>1827.65</v>
      </c>
      <c r="O330" s="14" t="n">
        <v>1787.94</v>
      </c>
      <c r="P330" s="4">
        <f>IF(O330="","",IF(F330&gt;O330,"Above","Below"))</f>
        <v/>
      </c>
      <c r="Q330" s="16" t="n">
        <v>201713</v>
      </c>
      <c r="R330" s="17" t="n">
        <v>0</v>
      </c>
      <c r="S330" s="17" t="n">
        <v>0</v>
      </c>
      <c r="T330" s="17" t="n">
        <v>0</v>
      </c>
      <c r="U330" s="18" t="n">
        <v>0</v>
      </c>
    </row>
    <row r="331">
      <c r="A331" s="13" t="n">
        <v>44951</v>
      </c>
      <c r="B331" s="4">
        <f>TEXT(A331,"ddd")</f>
        <v/>
      </c>
      <c r="C331" s="14" t="n">
        <v>1938.7</v>
      </c>
      <c r="D331" s="14" t="n">
        <v>1949.5</v>
      </c>
      <c r="E331" s="14" t="n">
        <v>1920.6</v>
      </c>
      <c r="F331" s="14" t="n">
        <v>1942.6</v>
      </c>
      <c r="G331" s="9">
        <f>F331-F330</f>
        <v/>
      </c>
      <c r="H331" s="10">
        <f>IF(F330=0,0,G331/F330)</f>
        <v/>
      </c>
      <c r="I331" s="8">
        <f>D331-E331</f>
        <v/>
      </c>
      <c r="J331" s="4">
        <f>IF(F331&gt;C331,"Up",IF(F331&lt;C331,"Down","Flat"))</f>
        <v/>
      </c>
      <c r="K331" s="14" t="n">
        <v>26.29</v>
      </c>
      <c r="L331" s="15" t="n">
        <v>74.31</v>
      </c>
      <c r="M331" s="14" t="n">
        <v>1888.22</v>
      </c>
      <c r="N331" s="14" t="n">
        <v>1832.16</v>
      </c>
      <c r="O331" s="14" t="n">
        <v>1789.48</v>
      </c>
      <c r="P331" s="4">
        <f>IF(O331="","",IF(F331&gt;O331,"Above","Below"))</f>
        <v/>
      </c>
      <c r="Q331" s="16" t="n">
        <v>190302</v>
      </c>
      <c r="R331" s="17" t="n">
        <v>0</v>
      </c>
      <c r="S331" s="17" t="n">
        <v>0</v>
      </c>
      <c r="T331" s="17" t="n">
        <v>0</v>
      </c>
      <c r="U331" s="18" t="n">
        <v>0</v>
      </c>
    </row>
    <row r="332">
      <c r="A332" s="13" t="n">
        <v>44952</v>
      </c>
      <c r="B332" s="4">
        <f>TEXT(A332,"ddd")</f>
        <v/>
      </c>
      <c r="C332" s="14" t="n">
        <v>1948</v>
      </c>
      <c r="D332" s="14" t="n">
        <v>1949.8</v>
      </c>
      <c r="E332" s="14" t="n">
        <v>1918.4</v>
      </c>
      <c r="F332" s="14" t="n">
        <v>1930</v>
      </c>
      <c r="G332" s="9">
        <f>F332-F331</f>
        <v/>
      </c>
      <c r="H332" s="10">
        <f>IF(F331=0,0,G332/F331)</f>
        <v/>
      </c>
      <c r="I332" s="8">
        <f>D332-E332</f>
        <v/>
      </c>
      <c r="J332" s="4">
        <f>IF(F332&gt;C332,"Up",IF(F332&lt;C332,"Down","Flat"))</f>
        <v/>
      </c>
      <c r="K332" s="14" t="n">
        <v>26.65</v>
      </c>
      <c r="L332" s="15" t="n">
        <v>68.39</v>
      </c>
      <c r="M332" s="14" t="n">
        <v>1892.2</v>
      </c>
      <c r="N332" s="14" t="n">
        <v>1836</v>
      </c>
      <c r="O332" s="14" t="n">
        <v>1790.88</v>
      </c>
      <c r="P332" s="4">
        <f>IF(O332="","",IF(F332&gt;O332,"Above","Below"))</f>
        <v/>
      </c>
      <c r="Q332" s="16" t="n">
        <v>223255</v>
      </c>
      <c r="R332" s="17" t="n">
        <v>0</v>
      </c>
      <c r="S332" s="17" t="n">
        <v>0</v>
      </c>
      <c r="T332" s="17" t="n">
        <v>0</v>
      </c>
      <c r="U332" s="18" t="n">
        <v>0</v>
      </c>
    </row>
    <row r="333">
      <c r="A333" s="13" t="n">
        <v>44953</v>
      </c>
      <c r="B333" s="4">
        <f>TEXT(A333,"ddd")</f>
        <v/>
      </c>
      <c r="C333" s="14" t="n">
        <v>1929.3</v>
      </c>
      <c r="D333" s="14" t="n">
        <v>1935.4</v>
      </c>
      <c r="E333" s="14" t="n">
        <v>1916.5</v>
      </c>
      <c r="F333" s="14" t="n">
        <v>1929.4</v>
      </c>
      <c r="G333" s="9">
        <f>F333-F332</f>
        <v/>
      </c>
      <c r="H333" s="10">
        <f>IF(F332=0,0,G333/F332)</f>
        <v/>
      </c>
      <c r="I333" s="8">
        <f>D333-E333</f>
        <v/>
      </c>
      <c r="J333" s="4">
        <f>IF(F333&gt;C333,"Up",IF(F333&lt;C333,"Down","Flat"))</f>
        <v/>
      </c>
      <c r="K333" s="14" t="n">
        <v>26.1</v>
      </c>
      <c r="L333" s="15" t="n">
        <v>68.11</v>
      </c>
      <c r="M333" s="14" t="n">
        <v>1895.75</v>
      </c>
      <c r="N333" s="14" t="n">
        <v>1839.66</v>
      </c>
      <c r="O333" s="14" t="n">
        <v>1792.26</v>
      </c>
      <c r="P333" s="4">
        <f>IF(O333="","",IF(F333&gt;O333,"Above","Below"))</f>
        <v/>
      </c>
      <c r="Q333" s="16" t="n">
        <v>150902</v>
      </c>
      <c r="R333" s="17" t="n">
        <v>0</v>
      </c>
      <c r="S333" s="17" t="n">
        <v>0</v>
      </c>
      <c r="T333" s="17" t="n">
        <v>0</v>
      </c>
      <c r="U333" s="18" t="n">
        <v>0</v>
      </c>
    </row>
    <row r="334">
      <c r="A334" s="13" t="n">
        <v>44956</v>
      </c>
      <c r="B334" s="4">
        <f>TEXT(A334,"ddd")</f>
        <v/>
      </c>
      <c r="C334" s="14" t="n">
        <v>1928.3</v>
      </c>
      <c r="D334" s="14" t="n">
        <v>1933.6</v>
      </c>
      <c r="E334" s="14" t="n">
        <v>1920.3</v>
      </c>
      <c r="F334" s="14" t="n">
        <v>1922.9</v>
      </c>
      <c r="G334" s="9">
        <f>F334-F333</f>
        <v/>
      </c>
      <c r="H334" s="10">
        <f>IF(F333=0,0,G334/F333)</f>
        <v/>
      </c>
      <c r="I334" s="8">
        <f>D334-E334</f>
        <v/>
      </c>
      <c r="J334" s="4">
        <f>IF(F334&gt;C334,"Up",IF(F334&lt;C334,"Down","Flat"))</f>
        <v/>
      </c>
      <c r="K334" s="14" t="n">
        <v>25.19</v>
      </c>
      <c r="L334" s="15" t="n">
        <v>65.02</v>
      </c>
      <c r="M334" s="14" t="n">
        <v>1898.33</v>
      </c>
      <c r="N334" s="14" t="n">
        <v>1842.92</v>
      </c>
      <c r="O334" s="14" t="n">
        <v>1793.56</v>
      </c>
      <c r="P334" s="4">
        <f>IF(O334="","",IF(F334&gt;O334,"Above","Below"))</f>
        <v/>
      </c>
      <c r="Q334" s="16" t="n">
        <v>27220</v>
      </c>
      <c r="R334" s="17" t="n">
        <v>0</v>
      </c>
      <c r="S334" s="17" t="n">
        <v>0</v>
      </c>
      <c r="T334" s="17" t="n">
        <v>0</v>
      </c>
      <c r="U334" s="18" t="n">
        <v>0</v>
      </c>
    </row>
    <row r="335">
      <c r="A335" s="13" t="n">
        <v>44957</v>
      </c>
      <c r="B335" s="4">
        <f>TEXT(A335,"ddd")</f>
        <v/>
      </c>
      <c r="C335" s="14" t="n">
        <v>1923</v>
      </c>
      <c r="D335" s="14" t="n">
        <v>1930.4</v>
      </c>
      <c r="E335" s="14" t="n">
        <v>1900.6</v>
      </c>
      <c r="F335" s="14" t="n">
        <v>1929.5</v>
      </c>
      <c r="G335" s="9">
        <f>F335-F334</f>
        <v/>
      </c>
      <c r="H335" s="10">
        <f>IF(F334=0,0,G335/F334)</f>
        <v/>
      </c>
      <c r="I335" s="8">
        <f>D335-E335</f>
        <v/>
      </c>
      <c r="J335" s="4">
        <f>IF(F335&gt;C335,"Up",IF(F335&lt;C335,"Down","Flat"))</f>
        <v/>
      </c>
      <c r="K335" s="14" t="n">
        <v>25.52</v>
      </c>
      <c r="L335" s="15" t="n">
        <v>66.67</v>
      </c>
      <c r="M335" s="14" t="n">
        <v>1901.3</v>
      </c>
      <c r="N335" s="14" t="n">
        <v>1846.32</v>
      </c>
      <c r="O335" s="14" t="n">
        <v>1794.91</v>
      </c>
      <c r="P335" s="4">
        <f>IF(O335="","",IF(F335&gt;O335,"Above","Below"))</f>
        <v/>
      </c>
      <c r="Q335" s="16" t="n">
        <v>194077</v>
      </c>
      <c r="R335" s="17" t="n">
        <v>0</v>
      </c>
      <c r="S335" s="17" t="n">
        <v>0</v>
      </c>
      <c r="T335" s="17" t="n">
        <v>0</v>
      </c>
      <c r="U335" s="18" t="n">
        <v>0</v>
      </c>
    </row>
    <row r="336">
      <c r="A336" s="13" t="n">
        <v>44958</v>
      </c>
      <c r="B336" s="4">
        <f>TEXT(A336,"ddd")</f>
        <v/>
      </c>
      <c r="C336" s="14" t="n">
        <v>1944</v>
      </c>
      <c r="D336" s="14" t="n">
        <v>1970.8</v>
      </c>
      <c r="E336" s="14" t="n">
        <v>1936.1</v>
      </c>
      <c r="F336" s="14" t="n">
        <v>1942.8</v>
      </c>
      <c r="G336" s="9">
        <f>F336-F335</f>
        <v/>
      </c>
      <c r="H336" s="10">
        <f>IF(F335=0,0,G336/F335)</f>
        <v/>
      </c>
      <c r="I336" s="8">
        <f>D336-E336</f>
        <v/>
      </c>
      <c r="J336" s="4">
        <f>IF(F336&gt;C336,"Up",IF(F336&lt;C336,"Down","Flat"))</f>
        <v/>
      </c>
      <c r="K336" s="14" t="n">
        <v>26.64</v>
      </c>
      <c r="L336" s="15" t="n">
        <v>69.77</v>
      </c>
      <c r="M336" s="14" t="n">
        <v>1905.25</v>
      </c>
      <c r="N336" s="14" t="n">
        <v>1850.1</v>
      </c>
      <c r="O336" s="14" t="n">
        <v>1796.38</v>
      </c>
      <c r="P336" s="4">
        <f>IF(O336="","",IF(F336&gt;O336,"Above","Below"))</f>
        <v/>
      </c>
      <c r="Q336" s="16" t="n">
        <v>210613</v>
      </c>
      <c r="R336" s="17" t="n">
        <v>0</v>
      </c>
      <c r="S336" s="17" t="n">
        <v>0</v>
      </c>
      <c r="T336" s="17" t="n">
        <v>0</v>
      </c>
      <c r="U336" s="18" t="n">
        <v>0</v>
      </c>
    </row>
    <row r="337">
      <c r="A337" s="13" t="n">
        <v>44959</v>
      </c>
      <c r="B337" s="4">
        <f>TEXT(A337,"ddd")</f>
        <v/>
      </c>
      <c r="C337" s="14" t="n">
        <v>1967.1</v>
      </c>
      <c r="D337" s="14" t="n">
        <v>1975.2</v>
      </c>
      <c r="E337" s="14" t="n">
        <v>1925.6</v>
      </c>
      <c r="F337" s="14" t="n">
        <v>1930.8</v>
      </c>
      <c r="G337" s="9">
        <f>F337-F336</f>
        <v/>
      </c>
      <c r="H337" s="10">
        <f>IF(F336=0,0,G337/F336)</f>
        <v/>
      </c>
      <c r="I337" s="8">
        <f>D337-E337</f>
        <v/>
      </c>
      <c r="J337" s="4">
        <f>IF(F337&gt;C337,"Up",IF(F337&lt;C337,"Down","Flat"))</f>
        <v/>
      </c>
      <c r="K337" s="14" t="n">
        <v>28.28</v>
      </c>
      <c r="L337" s="15" t="n">
        <v>63.99</v>
      </c>
      <c r="M337" s="14" t="n">
        <v>1907.69</v>
      </c>
      <c r="N337" s="14" t="n">
        <v>1853.27</v>
      </c>
      <c r="O337" s="14" t="n">
        <v>1797.72</v>
      </c>
      <c r="P337" s="4">
        <f>IF(O337="","",IF(F337&gt;O337,"Above","Below"))</f>
        <v/>
      </c>
      <c r="Q337" s="16" t="n">
        <v>259844</v>
      </c>
      <c r="R337" s="17" t="n">
        <v>0</v>
      </c>
      <c r="S337" s="17" t="n">
        <v>0</v>
      </c>
      <c r="T337" s="17" t="n">
        <v>0</v>
      </c>
      <c r="U337" s="18" t="n">
        <v>0</v>
      </c>
    </row>
    <row r="338">
      <c r="A338" s="13" t="n">
        <v>44960</v>
      </c>
      <c r="B338" s="4">
        <f>TEXT(A338,"ddd")</f>
        <v/>
      </c>
      <c r="C338" s="14" t="n">
        <v>1926.3</v>
      </c>
      <c r="D338" s="14" t="n">
        <v>1932.4</v>
      </c>
      <c r="E338" s="14" t="n">
        <v>1874.5</v>
      </c>
      <c r="F338" s="14" t="n">
        <v>1876.6</v>
      </c>
      <c r="G338" s="9">
        <f>F338-F337</f>
        <v/>
      </c>
      <c r="H338" s="10">
        <f>IF(F337=0,0,G338/F337)</f>
        <v/>
      </c>
      <c r="I338" s="8">
        <f>D338-E338</f>
        <v/>
      </c>
      <c r="J338" s="4">
        <f>IF(F338&gt;C338,"Up",IF(F338&lt;C338,"Down","Flat"))</f>
        <v/>
      </c>
      <c r="K338" s="14" t="n">
        <v>30.4</v>
      </c>
      <c r="L338" s="15" t="n">
        <v>45.6</v>
      </c>
      <c r="M338" s="14" t="n">
        <v>1904.73</v>
      </c>
      <c r="N338" s="14" t="n">
        <v>1854.18</v>
      </c>
      <c r="O338" s="14" t="n">
        <v>1798.5</v>
      </c>
      <c r="P338" s="4">
        <f>IF(O338="","",IF(F338&gt;O338,"Above","Below"))</f>
        <v/>
      </c>
      <c r="Q338" s="16" t="n">
        <v>310612</v>
      </c>
      <c r="R338" s="17" t="n">
        <v>0</v>
      </c>
      <c r="S338" s="17" t="n">
        <v>0</v>
      </c>
      <c r="T338" s="17" t="n">
        <v>0</v>
      </c>
      <c r="U338" s="18" t="n">
        <v>0</v>
      </c>
    </row>
    <row r="339">
      <c r="A339" s="13" t="n">
        <v>44963</v>
      </c>
      <c r="B339" s="4">
        <f>TEXT(A339,"ddd")</f>
        <v/>
      </c>
      <c r="C339" s="14" t="n">
        <v>1878</v>
      </c>
      <c r="D339" s="14" t="n">
        <v>1894</v>
      </c>
      <c r="E339" s="14" t="n">
        <v>1873.2</v>
      </c>
      <c r="F339" s="14" t="n">
        <v>1879.5</v>
      </c>
      <c r="G339" s="9">
        <f>F339-F338</f>
        <v/>
      </c>
      <c r="H339" s="10">
        <f>IF(F338=0,0,G339/F338)</f>
        <v/>
      </c>
      <c r="I339" s="8">
        <f>D339-E339</f>
        <v/>
      </c>
      <c r="J339" s="4">
        <f>IF(F339&gt;C339,"Up",IF(F339&lt;C339,"Down","Flat"))</f>
        <v/>
      </c>
      <c r="K339" s="14" t="n">
        <v>29.71</v>
      </c>
      <c r="L339" s="15" t="n">
        <v>46.49</v>
      </c>
      <c r="M339" s="14" t="n">
        <v>1902.32</v>
      </c>
      <c r="N339" s="14" t="n">
        <v>1855.17</v>
      </c>
      <c r="O339" s="14" t="n">
        <v>1799.31</v>
      </c>
      <c r="P339" s="4">
        <f>IF(O339="","",IF(F339&gt;O339,"Above","Below"))</f>
        <v/>
      </c>
      <c r="Q339" s="16" t="n">
        <v>164540</v>
      </c>
      <c r="R339" s="17" t="n">
        <v>0</v>
      </c>
      <c r="S339" s="17" t="n">
        <v>0</v>
      </c>
      <c r="T339" s="17" t="n">
        <v>0</v>
      </c>
      <c r="U339" s="18" t="n">
        <v>0</v>
      </c>
    </row>
    <row r="340">
      <c r="A340" s="13" t="n">
        <v>44964</v>
      </c>
      <c r="B340" s="4">
        <f>TEXT(A340,"ddd")</f>
        <v/>
      </c>
      <c r="C340" s="14" t="n">
        <v>1880.3</v>
      </c>
      <c r="D340" s="14" t="n">
        <v>1897.2</v>
      </c>
      <c r="E340" s="14" t="n">
        <v>1877.5</v>
      </c>
      <c r="F340" s="14" t="n">
        <v>1884.8</v>
      </c>
      <c r="G340" s="9">
        <f>F340-F339</f>
        <v/>
      </c>
      <c r="H340" s="10">
        <f>IF(F339=0,0,G340/F339)</f>
        <v/>
      </c>
      <c r="I340" s="8">
        <f>D340-E340</f>
        <v/>
      </c>
      <c r="J340" s="4">
        <f>IF(F340&gt;C340,"Up",IF(F340&lt;C340,"Down","Flat"))</f>
        <v/>
      </c>
      <c r="K340" s="14" t="n">
        <v>29</v>
      </c>
      <c r="L340" s="15" t="n">
        <v>48.15</v>
      </c>
      <c r="M340" s="14" t="n">
        <v>1900.65</v>
      </c>
      <c r="N340" s="14" t="n">
        <v>1856.34</v>
      </c>
      <c r="O340" s="14" t="n">
        <v>1800.16</v>
      </c>
      <c r="P340" s="4">
        <f>IF(O340="","",IF(F340&gt;O340,"Above","Below"))</f>
        <v/>
      </c>
      <c r="Q340" s="16" t="n">
        <v>179673</v>
      </c>
      <c r="R340" s="17" t="n">
        <v>0</v>
      </c>
      <c r="S340" s="17" t="n">
        <v>0</v>
      </c>
      <c r="T340" s="17" t="n">
        <v>0</v>
      </c>
      <c r="U340" s="18" t="n">
        <v>0</v>
      </c>
    </row>
    <row r="341">
      <c r="A341" s="13" t="n">
        <v>44965</v>
      </c>
      <c r="B341" s="4">
        <f>TEXT(A341,"ddd")</f>
        <v/>
      </c>
      <c r="C341" s="14" t="n">
        <v>1885.1</v>
      </c>
      <c r="D341" s="14" t="n">
        <v>1898.9</v>
      </c>
      <c r="E341" s="14" t="n">
        <v>1881.4</v>
      </c>
      <c r="F341" s="14" t="n">
        <v>1890.7</v>
      </c>
      <c r="G341" s="9">
        <f>F341-F340</f>
        <v/>
      </c>
      <c r="H341" s="10">
        <f>IF(F340=0,0,G341/F340)</f>
        <v/>
      </c>
      <c r="I341" s="8">
        <f>D341-E341</f>
        <v/>
      </c>
      <c r="J341" s="4">
        <f>IF(F341&gt;C341,"Up",IF(F341&lt;C341,"Down","Flat"))</f>
        <v/>
      </c>
      <c r="K341" s="14" t="n">
        <v>28.18</v>
      </c>
      <c r="L341" s="15" t="n">
        <v>50.01</v>
      </c>
      <c r="M341" s="14" t="n">
        <v>1899.71</v>
      </c>
      <c r="N341" s="14" t="n">
        <v>1857.68</v>
      </c>
      <c r="O341" s="14" t="n">
        <v>1801.06</v>
      </c>
      <c r="P341" s="4">
        <f>IF(O341="","",IF(F341&gt;O341,"Above","Below"))</f>
        <v/>
      </c>
      <c r="Q341" s="16" t="n">
        <v>131904</v>
      </c>
      <c r="R341" s="17" t="n">
        <v>0</v>
      </c>
      <c r="S341" s="17" t="n">
        <v>0</v>
      </c>
      <c r="T341" s="17" t="n">
        <v>0</v>
      </c>
      <c r="U341" s="18" t="n">
        <v>0</v>
      </c>
    </row>
    <row r="342">
      <c r="A342" s="13" t="n">
        <v>44966</v>
      </c>
      <c r="B342" s="4">
        <f>TEXT(A342,"ddd")</f>
        <v/>
      </c>
      <c r="C342" s="14" t="n">
        <v>1888.3</v>
      </c>
      <c r="D342" s="14" t="n">
        <v>1902.3</v>
      </c>
      <c r="E342" s="14" t="n">
        <v>1870.2</v>
      </c>
      <c r="F342" s="14" t="n">
        <v>1878.5</v>
      </c>
      <c r="G342" s="9">
        <f>F342-F341</f>
        <v/>
      </c>
      <c r="H342" s="10">
        <f>IF(F341=0,0,G342/F341)</f>
        <v/>
      </c>
      <c r="I342" s="8">
        <f>D342-E342</f>
        <v/>
      </c>
      <c r="J342" s="4">
        <f>IF(F342&gt;C342,"Up",IF(F342&lt;C342,"Down","Flat"))</f>
        <v/>
      </c>
      <c r="K342" s="14" t="n">
        <v>28.46</v>
      </c>
      <c r="L342" s="15" t="n">
        <v>46.31</v>
      </c>
      <c r="M342" s="14" t="n">
        <v>1897.69</v>
      </c>
      <c r="N342" s="14" t="n">
        <v>1858.5</v>
      </c>
      <c r="O342" s="14" t="n">
        <v>1801.83</v>
      </c>
      <c r="P342" s="4">
        <f>IF(O342="","",IF(F342&gt;O342,"Above","Below"))</f>
        <v/>
      </c>
      <c r="Q342" s="16" t="n">
        <v>183551</v>
      </c>
      <c r="R342" s="17" t="n">
        <v>0</v>
      </c>
      <c r="S342" s="17" t="n">
        <v>0</v>
      </c>
      <c r="T342" s="17" t="n">
        <v>0</v>
      </c>
      <c r="U342" s="18" t="n">
        <v>0</v>
      </c>
    </row>
    <row r="343">
      <c r="A343" s="13" t="n">
        <v>44967</v>
      </c>
      <c r="B343" s="4">
        <f>TEXT(A343,"ddd")</f>
        <v/>
      </c>
      <c r="C343" s="14" t="n">
        <v>1873.5</v>
      </c>
      <c r="D343" s="14" t="n">
        <v>1883.5</v>
      </c>
      <c r="E343" s="14" t="n">
        <v>1863.5</v>
      </c>
      <c r="F343" s="14" t="n">
        <v>1874.5</v>
      </c>
      <c r="G343" s="9">
        <f>F343-F342</f>
        <v/>
      </c>
      <c r="H343" s="10">
        <f>IF(F342=0,0,G343/F342)</f>
        <v/>
      </c>
      <c r="I343" s="8">
        <f>D343-E343</f>
        <v/>
      </c>
      <c r="J343" s="4">
        <f>IF(F343&gt;C343,"Up",IF(F343&lt;C343,"Down","Flat"))</f>
        <v/>
      </c>
      <c r="K343" s="14" t="n">
        <v>27.85</v>
      </c>
      <c r="L343" s="15" t="n">
        <v>45.13</v>
      </c>
      <c r="M343" s="14" t="n">
        <v>1895.48</v>
      </c>
      <c r="N343" s="14" t="n">
        <v>1859.13</v>
      </c>
      <c r="O343" s="14" t="n">
        <v>1802.55</v>
      </c>
      <c r="P343" s="4">
        <f>IF(O343="","",IF(F343&gt;O343,"Above","Below"))</f>
        <v/>
      </c>
      <c r="Q343" s="16" t="n">
        <v>155270</v>
      </c>
      <c r="R343" s="17" t="n">
        <v>0</v>
      </c>
      <c r="S343" s="17" t="n">
        <v>0</v>
      </c>
      <c r="T343" s="17" t="n">
        <v>0</v>
      </c>
      <c r="U343" s="18" t="n">
        <v>0</v>
      </c>
    </row>
    <row r="344">
      <c r="A344" s="13" t="n">
        <v>44970</v>
      </c>
      <c r="B344" s="4">
        <f>TEXT(A344,"ddd")</f>
        <v/>
      </c>
      <c r="C344" s="14" t="n">
        <v>1876.7</v>
      </c>
      <c r="D344" s="14" t="n">
        <v>1877.2</v>
      </c>
      <c r="E344" s="14" t="n">
        <v>1860.8</v>
      </c>
      <c r="F344" s="14" t="n">
        <v>1863.5</v>
      </c>
      <c r="G344" s="9">
        <f>F344-F343</f>
        <v/>
      </c>
      <c r="H344" s="10">
        <f>IF(F343=0,0,G344/F343)</f>
        <v/>
      </c>
      <c r="I344" s="8">
        <f>D344-E344</f>
        <v/>
      </c>
      <c r="J344" s="4">
        <f>IF(F344&gt;C344,"Up",IF(F344&lt;C344,"Down","Flat"))</f>
        <v/>
      </c>
      <c r="K344" s="14" t="n">
        <v>27.03</v>
      </c>
      <c r="L344" s="15" t="n">
        <v>41.96</v>
      </c>
      <c r="M344" s="14" t="n">
        <v>1892.43</v>
      </c>
      <c r="N344" s="14" t="n">
        <v>1859.3</v>
      </c>
      <c r="O344" s="14" t="n">
        <v>1803.16</v>
      </c>
      <c r="P344" s="4">
        <f>IF(O344="","",IF(F344&gt;O344,"Above","Below"))</f>
        <v/>
      </c>
      <c r="Q344" s="16" t="n">
        <v>131217</v>
      </c>
      <c r="R344" s="17" t="n">
        <v>0</v>
      </c>
      <c r="S344" s="17" t="n">
        <v>0</v>
      </c>
      <c r="T344" s="17" t="n">
        <v>0</v>
      </c>
      <c r="U344" s="18" t="n">
        <v>0</v>
      </c>
    </row>
    <row r="345">
      <c r="A345" s="13" t="n">
        <v>44971</v>
      </c>
      <c r="B345" s="4">
        <f>TEXT(A345,"ddd")</f>
        <v/>
      </c>
      <c r="C345" s="14" t="n">
        <v>1864.1</v>
      </c>
      <c r="D345" s="14" t="n">
        <v>1881.6</v>
      </c>
      <c r="E345" s="14" t="n">
        <v>1852.5</v>
      </c>
      <c r="F345" s="14" t="n">
        <v>1865.4</v>
      </c>
      <c r="G345" s="9">
        <f>F345-F344</f>
        <v/>
      </c>
      <c r="H345" s="10">
        <f>IF(F344=0,0,G345/F344)</f>
        <v/>
      </c>
      <c r="I345" s="8">
        <f>D345-E345</f>
        <v/>
      </c>
      <c r="J345" s="4">
        <f>IF(F345&gt;C345,"Up",IF(F345&lt;C345,"Down","Flat"))</f>
        <v/>
      </c>
      <c r="K345" s="14" t="n">
        <v>27.18</v>
      </c>
      <c r="L345" s="15" t="n">
        <v>42.71</v>
      </c>
      <c r="M345" s="14" t="n">
        <v>1889.86</v>
      </c>
      <c r="N345" s="14" t="n">
        <v>1859.54</v>
      </c>
      <c r="O345" s="14" t="n">
        <v>1803.78</v>
      </c>
      <c r="P345" s="4">
        <f>IF(O345="","",IF(F345&gt;O345,"Above","Below"))</f>
        <v/>
      </c>
      <c r="Q345" s="16" t="n">
        <v>217012</v>
      </c>
      <c r="R345" s="17" t="n">
        <v>0</v>
      </c>
      <c r="S345" s="17" t="n">
        <v>0</v>
      </c>
      <c r="T345" s="17" t="n">
        <v>0</v>
      </c>
      <c r="U345" s="18" t="n">
        <v>0</v>
      </c>
    </row>
    <row r="346">
      <c r="A346" s="13" t="n">
        <v>44972</v>
      </c>
      <c r="B346" s="4">
        <f>TEXT(A346,"ddd")</f>
        <v/>
      </c>
      <c r="C346" s="14" t="n">
        <v>1865.1</v>
      </c>
      <c r="D346" s="14" t="n">
        <v>1870.9</v>
      </c>
      <c r="E346" s="14" t="n">
        <v>1839.3</v>
      </c>
      <c r="F346" s="14" t="n">
        <v>1845.3</v>
      </c>
      <c r="G346" s="9">
        <f>F346-F345</f>
        <v/>
      </c>
      <c r="H346" s="10">
        <f>IF(F345=0,0,G346/F345)</f>
        <v/>
      </c>
      <c r="I346" s="8">
        <f>D346-E346</f>
        <v/>
      </c>
      <c r="J346" s="4">
        <f>IF(F346&gt;C346,"Up",IF(F346&lt;C346,"Down","Flat"))</f>
        <v/>
      </c>
      <c r="K346" s="14" t="n">
        <v>27.5</v>
      </c>
      <c r="L346" s="15" t="n">
        <v>37.25</v>
      </c>
      <c r="M346" s="14" t="n">
        <v>1885.61</v>
      </c>
      <c r="N346" s="14" t="n">
        <v>1858.98</v>
      </c>
      <c r="O346" s="14" t="n">
        <v>1804.19</v>
      </c>
      <c r="P346" s="4">
        <f>IF(O346="","",IF(F346&gt;O346,"Above","Below"))</f>
        <v/>
      </c>
      <c r="Q346" s="16" t="n">
        <v>169531</v>
      </c>
      <c r="R346" s="17" t="n">
        <v>0</v>
      </c>
      <c r="S346" s="17" t="n">
        <v>0</v>
      </c>
      <c r="T346" s="17" t="n">
        <v>0</v>
      </c>
      <c r="U346" s="18" t="n">
        <v>0</v>
      </c>
    </row>
    <row r="347">
      <c r="A347" s="13" t="n">
        <v>44973</v>
      </c>
      <c r="B347" s="4">
        <f>TEXT(A347,"ddd")</f>
        <v/>
      </c>
      <c r="C347" s="14" t="n">
        <v>1846.5</v>
      </c>
      <c r="D347" s="14" t="n">
        <v>1854.9</v>
      </c>
      <c r="E347" s="14" t="n">
        <v>1836.6</v>
      </c>
      <c r="F347" s="14" t="n">
        <v>1851.8</v>
      </c>
      <c r="G347" s="9">
        <f>F347-F346</f>
        <v/>
      </c>
      <c r="H347" s="10">
        <f>IF(F346=0,0,G347/F346)</f>
        <v/>
      </c>
      <c r="I347" s="8">
        <f>D347-E347</f>
        <v/>
      </c>
      <c r="J347" s="4">
        <f>IF(F347&gt;C347,"Up",IF(F347&lt;C347,"Down","Flat"))</f>
        <v/>
      </c>
      <c r="K347" s="14" t="n">
        <v>26.84</v>
      </c>
      <c r="L347" s="15" t="n">
        <v>39.92</v>
      </c>
      <c r="M347" s="14" t="n">
        <v>1882.39</v>
      </c>
      <c r="N347" s="14" t="n">
        <v>1858.7</v>
      </c>
      <c r="O347" s="14" t="n">
        <v>1804.67</v>
      </c>
      <c r="P347" s="4">
        <f>IF(O347="","",IF(F347&gt;O347,"Above","Below"))</f>
        <v/>
      </c>
      <c r="Q347" s="16" t="n">
        <v>168509</v>
      </c>
      <c r="R347" s="17" t="n">
        <v>0</v>
      </c>
      <c r="S347" s="17" t="n">
        <v>0</v>
      </c>
      <c r="T347" s="17" t="n">
        <v>0</v>
      </c>
      <c r="U347" s="18" t="n">
        <v>0</v>
      </c>
    </row>
    <row r="348">
      <c r="A348" s="13" t="n">
        <v>44974</v>
      </c>
      <c r="B348" s="4">
        <f>TEXT(A348,"ddd")</f>
        <v/>
      </c>
      <c r="C348" s="14" t="n">
        <v>1845.7</v>
      </c>
      <c r="D348" s="14" t="n">
        <v>1853.1</v>
      </c>
      <c r="E348" s="14" t="n">
        <v>1827.7</v>
      </c>
      <c r="F348" s="14" t="n">
        <v>1850.2</v>
      </c>
      <c r="G348" s="9">
        <f>F348-F347</f>
        <v/>
      </c>
      <c r="H348" s="10">
        <f>IF(F347=0,0,G348/F347)</f>
        <v/>
      </c>
      <c r="I348" s="8">
        <f>D348-E348</f>
        <v/>
      </c>
      <c r="J348" s="4">
        <f>IF(F348&gt;C348,"Up",IF(F348&lt;C348,"Down","Flat"))</f>
        <v/>
      </c>
      <c r="K348" s="14" t="n">
        <v>26.74</v>
      </c>
      <c r="L348" s="15" t="n">
        <v>39.48</v>
      </c>
      <c r="M348" s="14" t="n">
        <v>1879.33</v>
      </c>
      <c r="N348" s="14" t="n">
        <v>1858.37</v>
      </c>
      <c r="O348" s="14" t="n">
        <v>1805.12</v>
      </c>
      <c r="P348" s="4">
        <f>IF(O348="","",IF(F348&gt;O348,"Above","Below"))</f>
        <v/>
      </c>
      <c r="Q348" s="16" t="n">
        <v>165081</v>
      </c>
      <c r="R348" s="17" t="n">
        <v>0</v>
      </c>
      <c r="S348" s="17" t="n">
        <v>0</v>
      </c>
      <c r="T348" s="17" t="n">
        <v>0</v>
      </c>
      <c r="U348" s="18" t="n">
        <v>0</v>
      </c>
    </row>
    <row r="349">
      <c r="A349" s="13" t="n">
        <v>44978</v>
      </c>
      <c r="B349" s="4">
        <f>TEXT(A349,"ddd")</f>
        <v/>
      </c>
      <c r="C349" s="14" t="n">
        <v>1850.5</v>
      </c>
      <c r="D349" s="14" t="n">
        <v>1856.4</v>
      </c>
      <c r="E349" s="14" t="n">
        <v>1839</v>
      </c>
      <c r="F349" s="14" t="n">
        <v>1842.5</v>
      </c>
      <c r="G349" s="9">
        <f>F349-F348</f>
        <v/>
      </c>
      <c r="H349" s="10">
        <f>IF(F348=0,0,G349/F348)</f>
        <v/>
      </c>
      <c r="I349" s="8">
        <f>D349-E349</f>
        <v/>
      </c>
      <c r="J349" s="4">
        <f>IF(F349&gt;C349,"Up",IF(F349&lt;C349,"Down","Flat"))</f>
        <v/>
      </c>
      <c r="K349" s="14" t="n">
        <v>26.07</v>
      </c>
      <c r="L349" s="15" t="n">
        <v>37.31</v>
      </c>
      <c r="M349" s="14" t="n">
        <v>1875.82</v>
      </c>
      <c r="N349" s="14" t="n">
        <v>1857.74</v>
      </c>
      <c r="O349" s="14" t="n">
        <v>1805.49</v>
      </c>
      <c r="P349" s="4">
        <f>IF(O349="","",IF(F349&gt;O349,"Above","Below"))</f>
        <v/>
      </c>
      <c r="Q349" s="16" t="n">
        <v>210165</v>
      </c>
      <c r="R349" s="17" t="n">
        <v>0</v>
      </c>
      <c r="S349" s="17" t="n">
        <v>0</v>
      </c>
      <c r="T349" s="17" t="n">
        <v>0</v>
      </c>
      <c r="U349" s="18" t="n">
        <v>0</v>
      </c>
    </row>
    <row r="350">
      <c r="A350" s="13" t="n">
        <v>44979</v>
      </c>
      <c r="B350" s="4">
        <f>TEXT(A350,"ddd")</f>
        <v/>
      </c>
      <c r="C350" s="14" t="n">
        <v>1843.7</v>
      </c>
      <c r="D350" s="14" t="n">
        <v>1855</v>
      </c>
      <c r="E350" s="14" t="n">
        <v>1831.9</v>
      </c>
      <c r="F350" s="14" t="n">
        <v>1841.5</v>
      </c>
      <c r="G350" s="9">
        <f>F350-F349</f>
        <v/>
      </c>
      <c r="H350" s="10">
        <f>IF(F349=0,0,G350/F349)</f>
        <v/>
      </c>
      <c r="I350" s="8">
        <f>D350-E350</f>
        <v/>
      </c>
      <c r="J350" s="4">
        <f>IF(F350&gt;C350,"Up",IF(F350&lt;C350,"Down","Flat"))</f>
        <v/>
      </c>
      <c r="K350" s="14" t="n">
        <v>25.86</v>
      </c>
      <c r="L350" s="15" t="n">
        <v>37.03</v>
      </c>
      <c r="M350" s="14" t="n">
        <v>1872.55</v>
      </c>
      <c r="N350" s="14" t="n">
        <v>1857.11</v>
      </c>
      <c r="O350" s="14" t="n">
        <v>1805.85</v>
      </c>
      <c r="P350" s="4">
        <f>IF(O350="","",IF(F350&gt;O350,"Above","Below"))</f>
        <v/>
      </c>
      <c r="Q350" s="16" t="n">
        <v>141500</v>
      </c>
      <c r="R350" s="17" t="n">
        <v>0</v>
      </c>
      <c r="S350" s="17" t="n">
        <v>0</v>
      </c>
      <c r="T350" s="17" t="n">
        <v>0</v>
      </c>
      <c r="U350" s="18" t="n">
        <v>0</v>
      </c>
    </row>
    <row r="351">
      <c r="A351" s="13" t="n">
        <v>44980</v>
      </c>
      <c r="B351" s="4">
        <f>TEXT(A351,"ddd")</f>
        <v/>
      </c>
      <c r="C351" s="14" t="n">
        <v>1834.7</v>
      </c>
      <c r="D351" s="14" t="n">
        <v>1841.2</v>
      </c>
      <c r="E351" s="14" t="n">
        <v>1824.8</v>
      </c>
      <c r="F351" s="14" t="n">
        <v>1826.8</v>
      </c>
      <c r="G351" s="9">
        <f>F351-F350</f>
        <v/>
      </c>
      <c r="H351" s="10">
        <f>IF(F350=0,0,G351/F350)</f>
        <v/>
      </c>
      <c r="I351" s="8">
        <f>D351-E351</f>
        <v/>
      </c>
      <c r="J351" s="4">
        <f>IF(F351&gt;C351,"Up",IF(F351&lt;C351,"Down","Flat"))</f>
        <v/>
      </c>
      <c r="K351" s="14" t="n">
        <v>25.2</v>
      </c>
      <c r="L351" s="15" t="n">
        <v>33.05</v>
      </c>
      <c r="M351" s="14" t="n">
        <v>1868.19</v>
      </c>
      <c r="N351" s="14" t="n">
        <v>1855.92</v>
      </c>
      <c r="O351" s="14" t="n">
        <v>1806.06</v>
      </c>
      <c r="P351" s="4">
        <f>IF(O351="","",IF(F351&gt;O351,"Above","Below"))</f>
        <v/>
      </c>
      <c r="Q351" s="16" t="n">
        <v>179972</v>
      </c>
      <c r="R351" s="17" t="n">
        <v>0</v>
      </c>
      <c r="S351" s="17" t="n">
        <v>0</v>
      </c>
      <c r="T351" s="17" t="n">
        <v>0</v>
      </c>
      <c r="U351" s="18" t="n">
        <v>0</v>
      </c>
    </row>
    <row r="352">
      <c r="A352" s="13" t="n">
        <v>44981</v>
      </c>
      <c r="B352" s="4">
        <f>TEXT(A352,"ddd")</f>
        <v/>
      </c>
      <c r="C352" s="14" t="n">
        <v>1829.7</v>
      </c>
      <c r="D352" s="14" t="n">
        <v>1835.1</v>
      </c>
      <c r="E352" s="14" t="n">
        <v>1815.5</v>
      </c>
      <c r="F352" s="14" t="n">
        <v>1817.1</v>
      </c>
      <c r="G352" s="9">
        <f>F352-F351</f>
        <v/>
      </c>
      <c r="H352" s="10">
        <f>IF(F351=0,0,G352/F351)</f>
        <v/>
      </c>
      <c r="I352" s="8">
        <f>D352-E352</f>
        <v/>
      </c>
      <c r="J352" s="4">
        <f>IF(F352&gt;C352,"Up",IF(F352&lt;C352,"Down","Flat"))</f>
        <v/>
      </c>
      <c r="K352" s="14" t="n">
        <v>24.8</v>
      </c>
      <c r="L352" s="15" t="n">
        <v>30.71</v>
      </c>
      <c r="M352" s="14" t="n">
        <v>1863.33</v>
      </c>
      <c r="N352" s="14" t="n">
        <v>1854.4</v>
      </c>
      <c r="O352" s="14" t="n">
        <v>1806.17</v>
      </c>
      <c r="P352" s="4">
        <f>IF(O352="","",IF(F352&gt;O352,"Above","Below"))</f>
        <v/>
      </c>
      <c r="Q352" s="16" t="n">
        <v>169473</v>
      </c>
      <c r="R352" s="17" t="n">
        <v>0</v>
      </c>
      <c r="S352" s="17" t="n">
        <v>0</v>
      </c>
      <c r="T352" s="17" t="n">
        <v>0</v>
      </c>
      <c r="U352" s="18" t="n">
        <v>0</v>
      </c>
    </row>
    <row r="353">
      <c r="A353" s="13" t="n">
        <v>44984</v>
      </c>
      <c r="B353" s="4">
        <f>TEXT(A353,"ddd")</f>
        <v/>
      </c>
      <c r="C353" s="14" t="n">
        <v>1818</v>
      </c>
      <c r="D353" s="14" t="n">
        <v>1827.3</v>
      </c>
      <c r="E353" s="14" t="n">
        <v>1812</v>
      </c>
      <c r="F353" s="14" t="n">
        <v>1824.9</v>
      </c>
      <c r="G353" s="9">
        <f>F353-F352</f>
        <v/>
      </c>
      <c r="H353" s="10">
        <f>IF(F352=0,0,G353/F352)</f>
        <v/>
      </c>
      <c r="I353" s="8">
        <f>D353-E353</f>
        <v/>
      </c>
      <c r="J353" s="4">
        <f>IF(F353&gt;C353,"Up",IF(F353&lt;C353,"Down","Flat"))</f>
        <v/>
      </c>
      <c r="K353" s="14" t="n">
        <v>24.13</v>
      </c>
      <c r="L353" s="15" t="n">
        <v>34.72</v>
      </c>
      <c r="M353" s="14" t="n">
        <v>1859.67</v>
      </c>
      <c r="N353" s="14" t="n">
        <v>1853.24</v>
      </c>
      <c r="O353" s="14" t="n">
        <v>1806.36</v>
      </c>
      <c r="P353" s="4">
        <f>IF(O353="","",IF(F353&gt;O353,"Above","Below"))</f>
        <v/>
      </c>
      <c r="Q353" s="16" t="n">
        <v>130427</v>
      </c>
      <c r="R353" s="17" t="n">
        <v>0</v>
      </c>
      <c r="S353" s="17" t="n">
        <v>0</v>
      </c>
      <c r="T353" s="17" t="n">
        <v>0</v>
      </c>
      <c r="U353" s="18" t="n">
        <v>0</v>
      </c>
    </row>
    <row r="354">
      <c r="A354" s="13" t="n">
        <v>44985</v>
      </c>
      <c r="B354" s="4">
        <f>TEXT(A354,"ddd")</f>
        <v/>
      </c>
      <c r="C354" s="14" t="n">
        <v>1823.9</v>
      </c>
      <c r="D354" s="14" t="n">
        <v>1838.6</v>
      </c>
      <c r="E354" s="14" t="n">
        <v>1810.8</v>
      </c>
      <c r="F354" s="14" t="n">
        <v>1836.7</v>
      </c>
      <c r="G354" s="9">
        <f>F354-F353</f>
        <v/>
      </c>
      <c r="H354" s="10">
        <f>IF(F353=0,0,G354/F353)</f>
        <v/>
      </c>
      <c r="I354" s="8">
        <f>D354-E354</f>
        <v/>
      </c>
      <c r="J354" s="4">
        <f>IF(F354&gt;C354,"Up",IF(F354&lt;C354,"Down","Flat"))</f>
        <v/>
      </c>
      <c r="K354" s="14" t="n">
        <v>24.39</v>
      </c>
      <c r="L354" s="15" t="n">
        <v>40.34</v>
      </c>
      <c r="M354" s="14" t="n">
        <v>1857.48</v>
      </c>
      <c r="N354" s="14" t="n">
        <v>1852.59</v>
      </c>
      <c r="O354" s="14" t="n">
        <v>1806.66</v>
      </c>
      <c r="P354" s="4">
        <f>IF(O354="","",IF(F354&gt;O354,"Above","Below"))</f>
        <v/>
      </c>
      <c r="Q354" s="16" t="n">
        <v>184507</v>
      </c>
      <c r="R354" s="17" t="n">
        <v>0</v>
      </c>
      <c r="S354" s="17" t="n">
        <v>0</v>
      </c>
      <c r="T354" s="17" t="n">
        <v>0</v>
      </c>
      <c r="U354" s="18" t="n">
        <v>0</v>
      </c>
    </row>
    <row r="355">
      <c r="A355" s="13" t="n">
        <v>44986</v>
      </c>
      <c r="B355" s="4">
        <f>TEXT(A355,"ddd")</f>
        <v/>
      </c>
      <c r="C355" s="14" t="n">
        <v>1834</v>
      </c>
      <c r="D355" s="14" t="n">
        <v>1852.5</v>
      </c>
      <c r="E355" s="14" t="n">
        <v>1829.6</v>
      </c>
      <c r="F355" s="14" t="n">
        <v>1845.4</v>
      </c>
      <c r="G355" s="9">
        <f>F355-F354</f>
        <v/>
      </c>
      <c r="H355" s="10">
        <f>IF(F354=0,0,G355/F354)</f>
        <v/>
      </c>
      <c r="I355" s="8">
        <f>D355-E355</f>
        <v/>
      </c>
      <c r="J355" s="4">
        <f>IF(F355&gt;C355,"Up",IF(F355&lt;C355,"Down","Flat"))</f>
        <v/>
      </c>
      <c r="K355" s="14" t="n">
        <v>24.28</v>
      </c>
      <c r="L355" s="15" t="n">
        <v>44.16</v>
      </c>
      <c r="M355" s="14" t="n">
        <v>1856.33</v>
      </c>
      <c r="N355" s="14" t="n">
        <v>1852.31</v>
      </c>
      <c r="O355" s="14" t="n">
        <v>1807.04</v>
      </c>
      <c r="P355" s="4">
        <f>IF(O355="","",IF(F355&gt;O355,"Above","Below"))</f>
        <v/>
      </c>
      <c r="Q355" s="16" t="n">
        <v>182583</v>
      </c>
      <c r="R355" s="17" t="n">
        <v>0</v>
      </c>
      <c r="S355" s="17" t="n">
        <v>0</v>
      </c>
      <c r="T355" s="17" t="n">
        <v>0</v>
      </c>
      <c r="U355" s="18" t="n">
        <v>0</v>
      </c>
    </row>
    <row r="356">
      <c r="A356" s="13" t="n">
        <v>44987</v>
      </c>
      <c r="B356" s="4">
        <f>TEXT(A356,"ddd")</f>
        <v/>
      </c>
      <c r="C356" s="14" t="n">
        <v>1843.8</v>
      </c>
      <c r="D356" s="14" t="n">
        <v>1845.3</v>
      </c>
      <c r="E356" s="14" t="n">
        <v>1835.9</v>
      </c>
      <c r="F356" s="14" t="n">
        <v>1840.5</v>
      </c>
      <c r="G356" s="9">
        <f>F356-F355</f>
        <v/>
      </c>
      <c r="H356" s="10">
        <f>IF(F355=0,0,G356/F355)</f>
        <v/>
      </c>
      <c r="I356" s="8">
        <f>D356-E356</f>
        <v/>
      </c>
      <c r="J356" s="4">
        <f>IF(F356&gt;C356,"Up",IF(F356&lt;C356,"Down","Flat"))</f>
        <v/>
      </c>
      <c r="K356" s="14" t="n">
        <v>23.23</v>
      </c>
      <c r="L356" s="15" t="n">
        <v>42.51</v>
      </c>
      <c r="M356" s="14" t="n">
        <v>1854.82</v>
      </c>
      <c r="N356" s="14" t="n">
        <v>1851.84</v>
      </c>
      <c r="O356" s="14" t="n">
        <v>1807.38</v>
      </c>
      <c r="P356" s="4">
        <f>IF(O356="","",IF(F356&gt;O356,"Above","Below"))</f>
        <v/>
      </c>
      <c r="Q356" s="16" t="n">
        <v>139755</v>
      </c>
      <c r="R356" s="17" t="n">
        <v>0</v>
      </c>
      <c r="S356" s="17" t="n">
        <v>0</v>
      </c>
      <c r="T356" s="17" t="n">
        <v>0</v>
      </c>
      <c r="U356" s="18" t="n">
        <v>0</v>
      </c>
    </row>
    <row r="357">
      <c r="A357" s="13" t="n">
        <v>44988</v>
      </c>
      <c r="B357" s="4">
        <f>TEXT(A357,"ddd")</f>
        <v/>
      </c>
      <c r="C357" s="14" t="n">
        <v>1842.1</v>
      </c>
      <c r="D357" s="14" t="n">
        <v>1864.4</v>
      </c>
      <c r="E357" s="14" t="n">
        <v>1842</v>
      </c>
      <c r="F357" s="14" t="n">
        <v>1854.6</v>
      </c>
      <c r="G357" s="9">
        <f>F357-F356</f>
        <v/>
      </c>
      <c r="H357" s="10">
        <f>IF(F356=0,0,G357/F356)</f>
        <v/>
      </c>
      <c r="I357" s="8">
        <f>D357-E357</f>
        <v/>
      </c>
      <c r="J357" s="4">
        <f>IF(F357&gt;C357,"Up",IF(F357&lt;C357,"Down","Flat"))</f>
        <v/>
      </c>
      <c r="K357" s="14" t="n">
        <v>23.27</v>
      </c>
      <c r="L357" s="15" t="n">
        <v>48.48</v>
      </c>
      <c r="M357" s="14" t="n">
        <v>1854.8</v>
      </c>
      <c r="N357" s="14" t="n">
        <v>1851.95</v>
      </c>
      <c r="O357" s="14" t="n">
        <v>1807.85</v>
      </c>
      <c r="P357" s="4">
        <f>IF(O357="","",IF(F357&gt;O357,"Above","Below"))</f>
        <v/>
      </c>
      <c r="Q357" s="16" t="n">
        <v>158961</v>
      </c>
      <c r="R357" s="17" t="n">
        <v>0</v>
      </c>
      <c r="S357" s="17" t="n">
        <v>0</v>
      </c>
      <c r="T357" s="17" t="n">
        <v>0</v>
      </c>
      <c r="U357" s="18" t="n">
        <v>0</v>
      </c>
    </row>
    <row r="358">
      <c r="A358" s="13" t="n">
        <v>44991</v>
      </c>
      <c r="B358" s="4">
        <f>TEXT(A358,"ddd")</f>
        <v/>
      </c>
      <c r="C358" s="14" t="n">
        <v>1861</v>
      </c>
      <c r="D358" s="14" t="n">
        <v>1864.3</v>
      </c>
      <c r="E358" s="14" t="n">
        <v>1850.6</v>
      </c>
      <c r="F358" s="14" t="n">
        <v>1854.6</v>
      </c>
      <c r="G358" s="9">
        <f>F358-F357</f>
        <v/>
      </c>
      <c r="H358" s="10">
        <f>IF(F357=0,0,G358/F357)</f>
        <v/>
      </c>
      <c r="I358" s="8">
        <f>D358-E358</f>
        <v/>
      </c>
      <c r="J358" s="4">
        <f>IF(F358&gt;C358,"Up",IF(F358&lt;C358,"Down","Flat"))</f>
        <v/>
      </c>
      <c r="K358" s="14" t="n">
        <v>22.59</v>
      </c>
      <c r="L358" s="15" t="n">
        <v>48.48</v>
      </c>
      <c r="M358" s="14" t="n">
        <v>1854.78</v>
      </c>
      <c r="N358" s="14" t="n">
        <v>1852.06</v>
      </c>
      <c r="O358" s="14" t="n">
        <v>1808.31</v>
      </c>
      <c r="P358" s="4">
        <f>IF(O358="","",IF(F358&gt;O358,"Above","Below"))</f>
        <v/>
      </c>
      <c r="Q358" s="16" t="n">
        <v>136224</v>
      </c>
      <c r="R358" s="17" t="n">
        <v>0</v>
      </c>
      <c r="S358" s="17" t="n">
        <v>0</v>
      </c>
      <c r="T358" s="17" t="n">
        <v>0</v>
      </c>
      <c r="U358" s="18" t="n">
        <v>0</v>
      </c>
    </row>
    <row r="359">
      <c r="A359" s="13" t="n">
        <v>44992</v>
      </c>
      <c r="B359" s="4">
        <f>TEXT(A359,"ddd")</f>
        <v/>
      </c>
      <c r="C359" s="14" t="n">
        <v>1852.6</v>
      </c>
      <c r="D359" s="14" t="n">
        <v>1856.9</v>
      </c>
      <c r="E359" s="14" t="n">
        <v>1817.1</v>
      </c>
      <c r="F359" s="14" t="n">
        <v>1820</v>
      </c>
      <c r="G359" s="9">
        <f>F359-F358</f>
        <v/>
      </c>
      <c r="H359" s="10">
        <f>IF(F358=0,0,G359/F358)</f>
        <v/>
      </c>
      <c r="I359" s="8">
        <f>D359-E359</f>
        <v/>
      </c>
      <c r="J359" s="4">
        <f>IF(F359&gt;C359,"Up",IF(F359&lt;C359,"Down","Flat"))</f>
        <v/>
      </c>
      <c r="K359" s="14" t="n">
        <v>23.82</v>
      </c>
      <c r="L359" s="15" t="n">
        <v>37.42</v>
      </c>
      <c r="M359" s="14" t="n">
        <v>1851.47</v>
      </c>
      <c r="N359" s="14" t="n">
        <v>1850.8</v>
      </c>
      <c r="O359" s="14" t="n">
        <v>1808.43</v>
      </c>
      <c r="P359" s="4">
        <f>IF(O359="","",IF(F359&gt;O359,"Above","Below"))</f>
        <v/>
      </c>
      <c r="Q359" s="16" t="n">
        <v>248226</v>
      </c>
      <c r="R359" s="17" t="n">
        <v>0</v>
      </c>
      <c r="S359" s="17" t="n">
        <v>0</v>
      </c>
      <c r="T359" s="17" t="n">
        <v>0</v>
      </c>
      <c r="U359" s="18" t="n">
        <v>0</v>
      </c>
    </row>
    <row r="360">
      <c r="A360" s="13" t="n">
        <v>44993</v>
      </c>
      <c r="B360" s="4">
        <f>TEXT(A360,"ddd")</f>
        <v/>
      </c>
      <c r="C360" s="14" t="n">
        <v>1818</v>
      </c>
      <c r="D360" s="14" t="n">
        <v>1828.7</v>
      </c>
      <c r="E360" s="14" t="n">
        <v>1813.4</v>
      </c>
      <c r="F360" s="14" t="n">
        <v>1818.6</v>
      </c>
      <c r="G360" s="9">
        <f>F360-F359</f>
        <v/>
      </c>
      <c r="H360" s="10">
        <f>IF(F359=0,0,G360/F359)</f>
        <v/>
      </c>
      <c r="I360" s="8">
        <f>D360-E360</f>
        <v/>
      </c>
      <c r="J360" s="4">
        <f>IF(F360&gt;C360,"Up",IF(F360&lt;C360,"Down","Flat"))</f>
        <v/>
      </c>
      <c r="K360" s="14" t="n">
        <v>23.21</v>
      </c>
      <c r="L360" s="15" t="n">
        <v>37.05</v>
      </c>
      <c r="M360" s="14" t="n">
        <v>1848.34</v>
      </c>
      <c r="N360" s="14" t="n">
        <v>1849.54</v>
      </c>
      <c r="O360" s="14" t="n">
        <v>1808.53</v>
      </c>
      <c r="P360" s="4">
        <f>IF(O360="","",IF(F360&gt;O360,"Above","Below"))</f>
        <v/>
      </c>
      <c r="Q360" s="16" t="n">
        <v>208292</v>
      </c>
      <c r="R360" s="17" t="n">
        <v>0</v>
      </c>
      <c r="S360" s="17" t="n">
        <v>0</v>
      </c>
      <c r="T360" s="17" t="n">
        <v>0</v>
      </c>
      <c r="U360" s="18" t="n">
        <v>0</v>
      </c>
    </row>
    <row r="361">
      <c r="A361" s="13" t="n">
        <v>44994</v>
      </c>
      <c r="B361" s="4">
        <f>TEXT(A361,"ddd")</f>
        <v/>
      </c>
      <c r="C361" s="14" t="n">
        <v>1818</v>
      </c>
      <c r="D361" s="14" t="n">
        <v>1839.4</v>
      </c>
      <c r="E361" s="14" t="n">
        <v>1815.4</v>
      </c>
      <c r="F361" s="14" t="n">
        <v>1834.6</v>
      </c>
      <c r="G361" s="9">
        <f>F361-F360</f>
        <v/>
      </c>
      <c r="H361" s="10">
        <f>IF(F360=0,0,G361/F360)</f>
        <v/>
      </c>
      <c r="I361" s="8">
        <f>D361-E361</f>
        <v/>
      </c>
      <c r="J361" s="4">
        <f>IF(F361&gt;C361,"Up",IF(F361&lt;C361,"Down","Flat"))</f>
        <v/>
      </c>
      <c r="K361" s="14" t="n">
        <v>23.27</v>
      </c>
      <c r="L361" s="15" t="n">
        <v>43.85</v>
      </c>
      <c r="M361" s="14" t="n">
        <v>1847.03</v>
      </c>
      <c r="N361" s="14" t="n">
        <v>1848.95</v>
      </c>
      <c r="O361" s="14" t="n">
        <v>1808.79</v>
      </c>
      <c r="P361" s="4">
        <f>IF(O361="","",IF(F361&gt;O361,"Above","Below"))</f>
        <v/>
      </c>
      <c r="Q361" s="16" t="n">
        <v>228473</v>
      </c>
      <c r="R361" s="17" t="n">
        <v>0</v>
      </c>
      <c r="S361" s="17" t="n">
        <v>0</v>
      </c>
      <c r="T361" s="17" t="n">
        <v>0</v>
      </c>
      <c r="U361" s="18" t="n">
        <v>0</v>
      </c>
    </row>
    <row r="362">
      <c r="A362" s="13" t="n">
        <v>44995</v>
      </c>
      <c r="B362" s="4">
        <f>TEXT(A362,"ddd")</f>
        <v/>
      </c>
      <c r="C362" s="14" t="n">
        <v>1835.1</v>
      </c>
      <c r="D362" s="14" t="n">
        <v>1874.3</v>
      </c>
      <c r="E362" s="14" t="n">
        <v>1830</v>
      </c>
      <c r="F362" s="14" t="n">
        <v>1867.2</v>
      </c>
      <c r="G362" s="9">
        <f>F362-F361</f>
        <v/>
      </c>
      <c r="H362" s="10">
        <f>IF(F361=0,0,G362/F361)</f>
        <v/>
      </c>
      <c r="I362" s="8">
        <f>D362-E362</f>
        <v/>
      </c>
      <c r="J362" s="4">
        <f>IF(F362&gt;C362,"Up",IF(F362&lt;C362,"Down","Flat"))</f>
        <v/>
      </c>
      <c r="K362" s="14" t="n">
        <v>24.77</v>
      </c>
      <c r="L362" s="15" t="n">
        <v>54.61</v>
      </c>
      <c r="M362" s="14" t="n">
        <v>1848.95</v>
      </c>
      <c r="N362" s="14" t="n">
        <v>1849.67</v>
      </c>
      <c r="O362" s="14" t="n">
        <v>1809.37</v>
      </c>
      <c r="P362" s="4">
        <f>IF(O362="","",IF(F362&gt;O362,"Above","Below"))</f>
        <v/>
      </c>
      <c r="Q362" s="16" t="n">
        <v>345814</v>
      </c>
      <c r="R362" s="17" t="n">
        <v>0</v>
      </c>
      <c r="S362" s="17" t="n">
        <v>0</v>
      </c>
      <c r="T362" s="17" t="n">
        <v>0</v>
      </c>
      <c r="U362" s="18" t="n">
        <v>0</v>
      </c>
    </row>
    <row r="363">
      <c r="A363" s="13" t="n">
        <v>44998</v>
      </c>
      <c r="B363" s="4">
        <f>TEXT(A363,"ddd")</f>
        <v/>
      </c>
      <c r="C363" s="14" t="n">
        <v>1877.1</v>
      </c>
      <c r="D363" s="14" t="n">
        <v>1919.5</v>
      </c>
      <c r="E363" s="14" t="n">
        <v>1875.7</v>
      </c>
      <c r="F363" s="14" t="n">
        <v>1916.5</v>
      </c>
      <c r="G363" s="9">
        <f>F363-F362</f>
        <v/>
      </c>
      <c r="H363" s="10">
        <f>IF(F362=0,0,G363/F362)</f>
        <v/>
      </c>
      <c r="I363" s="8">
        <f>D363-E363</f>
        <v/>
      </c>
      <c r="J363" s="4">
        <f>IF(F363&gt;C363,"Up",IF(F363&lt;C363,"Down","Flat"))</f>
        <v/>
      </c>
      <c r="K363" s="14" t="n">
        <v>26.74</v>
      </c>
      <c r="L363" s="15" t="n">
        <v>65.41</v>
      </c>
      <c r="M363" s="14" t="n">
        <v>1855.38</v>
      </c>
      <c r="N363" s="14" t="n">
        <v>1852.29</v>
      </c>
      <c r="O363" s="14" t="n">
        <v>1810.43</v>
      </c>
      <c r="P363" s="4">
        <f>IF(O363="","",IF(F363&gt;O363,"Above","Below"))</f>
        <v/>
      </c>
      <c r="Q363" s="16" t="n">
        <v>452332</v>
      </c>
      <c r="R363" s="17" t="n">
        <v>0</v>
      </c>
      <c r="S363" s="17" t="n">
        <v>0</v>
      </c>
      <c r="T363" s="17" t="n">
        <v>0</v>
      </c>
      <c r="U363" s="18" t="n">
        <v>0</v>
      </c>
    </row>
    <row r="364">
      <c r="A364" s="13" t="n">
        <v>44999</v>
      </c>
      <c r="B364" s="4">
        <f>TEXT(A364,"ddd")</f>
        <v/>
      </c>
      <c r="C364" s="14" t="n">
        <v>1919.4</v>
      </c>
      <c r="D364" s="14" t="n">
        <v>1919.4</v>
      </c>
      <c r="E364" s="14" t="n">
        <v>1899.8</v>
      </c>
      <c r="F364" s="14" t="n">
        <v>1910.9</v>
      </c>
      <c r="G364" s="9">
        <f>F364-F363</f>
        <v/>
      </c>
      <c r="H364" s="10">
        <f>IF(F363=0,0,G364/F363)</f>
        <v/>
      </c>
      <c r="I364" s="8">
        <f>D364-E364</f>
        <v/>
      </c>
      <c r="J364" s="4">
        <f>IF(F364&gt;C364,"Up",IF(F364&lt;C364,"Down","Flat"))</f>
        <v/>
      </c>
      <c r="K364" s="14" t="n">
        <v>26.23</v>
      </c>
      <c r="L364" s="15" t="n">
        <v>63.56</v>
      </c>
      <c r="M364" s="14" t="n">
        <v>1860.67</v>
      </c>
      <c r="N364" s="14" t="n">
        <v>1854.59</v>
      </c>
      <c r="O364" s="14" t="n">
        <v>1811.43</v>
      </c>
      <c r="P364" s="4">
        <f>IF(O364="","",IF(F364&gt;O364,"Above","Below"))</f>
        <v/>
      </c>
      <c r="Q364" s="16" t="n">
        <v>261275</v>
      </c>
      <c r="R364" s="17" t="n">
        <v>0</v>
      </c>
      <c r="S364" s="17" t="n">
        <v>0</v>
      </c>
      <c r="T364" s="17" t="n">
        <v>0</v>
      </c>
      <c r="U364" s="18" t="n">
        <v>0</v>
      </c>
    </row>
    <row r="365">
      <c r="A365" s="13" t="n">
        <v>45000</v>
      </c>
      <c r="B365" s="4">
        <f>TEXT(A365,"ddd")</f>
        <v/>
      </c>
      <c r="C365" s="14" t="n">
        <v>1908.2</v>
      </c>
      <c r="D365" s="14" t="n">
        <v>1942.5</v>
      </c>
      <c r="E365" s="14" t="n">
        <v>1889.5</v>
      </c>
      <c r="F365" s="14" t="n">
        <v>1931.3</v>
      </c>
      <c r="G365" s="9">
        <f>F365-F364</f>
        <v/>
      </c>
      <c r="H365" s="10">
        <f>IF(F364=0,0,G365/F364)</f>
        <v/>
      </c>
      <c r="I365" s="8">
        <f>D365-E365</f>
        <v/>
      </c>
      <c r="J365" s="4">
        <f>IF(F365&gt;C365,"Up",IF(F365&lt;C365,"Down","Flat"))</f>
        <v/>
      </c>
      <c r="K365" s="14" t="n">
        <v>28.14</v>
      </c>
      <c r="L365" s="15" t="n">
        <v>67.2</v>
      </c>
      <c r="M365" s="14" t="n">
        <v>1867.4</v>
      </c>
      <c r="N365" s="14" t="n">
        <v>1857.59</v>
      </c>
      <c r="O365" s="14" t="n">
        <v>1812.63</v>
      </c>
      <c r="P365" s="4">
        <f>IF(O365="","",IF(F365&gt;O365,"Above","Below"))</f>
        <v/>
      </c>
      <c r="Q365" s="16" t="n">
        <v>385454</v>
      </c>
      <c r="R365" s="17" t="n">
        <v>0</v>
      </c>
      <c r="S365" s="17" t="n">
        <v>0</v>
      </c>
      <c r="T365" s="17" t="n">
        <v>0</v>
      </c>
      <c r="U365" s="18" t="n">
        <v>0</v>
      </c>
    </row>
    <row r="366">
      <c r="A366" s="13" t="n">
        <v>45001</v>
      </c>
      <c r="B366" s="4">
        <f>TEXT(A366,"ddd")</f>
        <v/>
      </c>
      <c r="C366" s="14" t="n">
        <v>1922.8</v>
      </c>
      <c r="D366" s="14" t="n">
        <v>1938</v>
      </c>
      <c r="E366" s="14" t="n">
        <v>1911.5</v>
      </c>
      <c r="F366" s="14" t="n">
        <v>1923</v>
      </c>
      <c r="G366" s="9">
        <f>F366-F365</f>
        <v/>
      </c>
      <c r="H366" s="10">
        <f>IF(F365=0,0,G366/F365)</f>
        <v/>
      </c>
      <c r="I366" s="8">
        <f>D366-E366</f>
        <v/>
      </c>
      <c r="J366" s="4">
        <f>IF(F366&gt;C366,"Up",IF(F366&lt;C366,"Down","Flat"))</f>
        <v/>
      </c>
      <c r="K366" s="14" t="n">
        <v>28.02</v>
      </c>
      <c r="L366" s="15" t="n">
        <v>64.38</v>
      </c>
      <c r="M366" s="14" t="n">
        <v>1872.69</v>
      </c>
      <c r="N366" s="14" t="n">
        <v>1860.16</v>
      </c>
      <c r="O366" s="14" t="n">
        <v>1813.73</v>
      </c>
      <c r="P366" s="4">
        <f>IF(O366="","",IF(F366&gt;O366,"Above","Below"))</f>
        <v/>
      </c>
      <c r="Q366" s="16" t="n">
        <v>248084</v>
      </c>
      <c r="R366" s="17" t="n">
        <v>0</v>
      </c>
      <c r="S366" s="17" t="n">
        <v>0</v>
      </c>
      <c r="T366" s="17" t="n">
        <v>0</v>
      </c>
      <c r="U366" s="18" t="n">
        <v>0</v>
      </c>
    </row>
    <row r="367">
      <c r="A367" s="13" t="n">
        <v>45002</v>
      </c>
      <c r="B367" s="4">
        <f>TEXT(A367,"ddd")</f>
        <v/>
      </c>
      <c r="C367" s="14" t="n">
        <v>1925.9</v>
      </c>
      <c r="D367" s="14" t="n">
        <v>1993.7</v>
      </c>
      <c r="E367" s="14" t="n">
        <v>1922.3</v>
      </c>
      <c r="F367" s="14" t="n">
        <v>1973.5</v>
      </c>
      <c r="G367" s="9">
        <f>F367-F366</f>
        <v/>
      </c>
      <c r="H367" s="10">
        <f>IF(F366=0,0,G367/F366)</f>
        <v/>
      </c>
      <c r="I367" s="8">
        <f>D367-E367</f>
        <v/>
      </c>
      <c r="J367" s="4">
        <f>IF(F367&gt;C367,"Up",IF(F367&lt;C367,"Down","Flat"))</f>
        <v/>
      </c>
      <c r="K367" s="14" t="n">
        <v>31.12</v>
      </c>
      <c r="L367" s="15" t="n">
        <v>72.06</v>
      </c>
      <c r="M367" s="14" t="n">
        <v>1882.29</v>
      </c>
      <c r="N367" s="14" t="n">
        <v>1864.6</v>
      </c>
      <c r="O367" s="14" t="n">
        <v>1815.32</v>
      </c>
      <c r="P367" s="4">
        <f>IF(O367="","",IF(F367&gt;O367,"Above","Below"))</f>
        <v/>
      </c>
      <c r="Q367" s="16" t="n">
        <v>351092</v>
      </c>
      <c r="R367" s="17" t="n">
        <v>0</v>
      </c>
      <c r="S367" s="17" t="n">
        <v>0</v>
      </c>
      <c r="T367" s="17" t="n">
        <v>0</v>
      </c>
      <c r="U367" s="18" t="n">
        <v>0</v>
      </c>
    </row>
    <row r="368">
      <c r="A368" s="13" t="n">
        <v>45005</v>
      </c>
      <c r="B368" s="4">
        <f>TEXT(A368,"ddd")</f>
        <v/>
      </c>
      <c r="C368" s="14" t="n">
        <v>1989.7</v>
      </c>
      <c r="D368" s="14" t="n">
        <v>2014.9</v>
      </c>
      <c r="E368" s="14" t="n">
        <v>1970</v>
      </c>
      <c r="F368" s="14" t="n">
        <v>1982.8</v>
      </c>
      <c r="G368" s="9">
        <f>F368-F367</f>
        <v/>
      </c>
      <c r="H368" s="10">
        <f>IF(F367=0,0,G368/F367)</f>
        <v/>
      </c>
      <c r="I368" s="8">
        <f>D368-E368</f>
        <v/>
      </c>
      <c r="J368" s="4">
        <f>IF(F368&gt;C368,"Up",IF(F368&lt;C368,"Down","Flat"))</f>
        <v/>
      </c>
      <c r="K368" s="14" t="n">
        <v>32.1</v>
      </c>
      <c r="L368" s="15" t="n">
        <v>73.2</v>
      </c>
      <c r="M368" s="14" t="n">
        <v>1891.87</v>
      </c>
      <c r="N368" s="14" t="n">
        <v>1869.24</v>
      </c>
      <c r="O368" s="14" t="n">
        <v>1816.98</v>
      </c>
      <c r="P368" s="4">
        <f>IF(O368="","",IF(F368&gt;O368,"Above","Below"))</f>
        <v/>
      </c>
      <c r="Q368" s="16" t="n">
        <v>338016</v>
      </c>
      <c r="R368" s="17" t="n">
        <v>0</v>
      </c>
      <c r="S368" s="17" t="n">
        <v>0</v>
      </c>
      <c r="T368" s="17" t="n">
        <v>0</v>
      </c>
      <c r="U368" s="18" t="n">
        <v>0</v>
      </c>
    </row>
    <row r="369">
      <c r="A369" s="13" t="n">
        <v>45006</v>
      </c>
      <c r="B369" s="4">
        <f>TEXT(A369,"ddd")</f>
        <v/>
      </c>
      <c r="C369" s="14" t="n">
        <v>1983.1</v>
      </c>
      <c r="D369" s="14" t="n">
        <v>1988.7</v>
      </c>
      <c r="E369" s="14" t="n">
        <v>1938.6</v>
      </c>
      <c r="F369" s="14" t="n">
        <v>1941.1</v>
      </c>
      <c r="G369" s="9">
        <f>F369-F368</f>
        <v/>
      </c>
      <c r="H369" s="10">
        <f>IF(F368=0,0,G369/F368)</f>
        <v/>
      </c>
      <c r="I369" s="8">
        <f>D369-E369</f>
        <v/>
      </c>
      <c r="J369" s="4">
        <f>IF(F369&gt;C369,"Up",IF(F369&lt;C369,"Down","Flat"))</f>
        <v/>
      </c>
      <c r="K369" s="14" t="n">
        <v>33.39</v>
      </c>
      <c r="L369" s="15" t="n">
        <v>61.11</v>
      </c>
      <c r="M369" s="14" t="n">
        <v>1896.56</v>
      </c>
      <c r="N369" s="14" t="n">
        <v>1872.06</v>
      </c>
      <c r="O369" s="14" t="n">
        <v>1818.22</v>
      </c>
      <c r="P369" s="4">
        <f>IF(O369="","",IF(F369&gt;O369,"Above","Below"))</f>
        <v/>
      </c>
      <c r="Q369" s="16" t="n">
        <v>248934</v>
      </c>
      <c r="R369" s="17" t="n">
        <v>0</v>
      </c>
      <c r="S369" s="17" t="n">
        <v>0</v>
      </c>
      <c r="T369" s="17" t="n">
        <v>0</v>
      </c>
      <c r="U369" s="18" t="n">
        <v>0</v>
      </c>
    </row>
    <row r="370">
      <c r="A370" s="13" t="n">
        <v>45007</v>
      </c>
      <c r="B370" s="4">
        <f>TEXT(A370,"ddd")</f>
        <v/>
      </c>
      <c r="C370" s="14" t="n">
        <v>1943.5</v>
      </c>
      <c r="D370" s="14" t="n">
        <v>1982.3</v>
      </c>
      <c r="E370" s="14" t="n">
        <v>1936.5</v>
      </c>
      <c r="F370" s="14" t="n">
        <v>1949.6</v>
      </c>
      <c r="G370" s="9">
        <f>F370-F369</f>
        <v/>
      </c>
      <c r="H370" s="10">
        <f>IF(F369=0,0,G370/F369)</f>
        <v/>
      </c>
      <c r="I370" s="8">
        <f>D370-E370</f>
        <v/>
      </c>
      <c r="J370" s="4">
        <f>IF(F370&gt;C370,"Up",IF(F370&lt;C370,"Down","Flat"))</f>
        <v/>
      </c>
      <c r="K370" s="14" t="n">
        <v>34.28</v>
      </c>
      <c r="L370" s="15" t="n">
        <v>62.47</v>
      </c>
      <c r="M370" s="14" t="n">
        <v>1901.61</v>
      </c>
      <c r="N370" s="14" t="n">
        <v>1875.1</v>
      </c>
      <c r="O370" s="14" t="n">
        <v>1819.52</v>
      </c>
      <c r="P370" s="4">
        <f>IF(O370="","",IF(F370&gt;O370,"Above","Below"))</f>
        <v/>
      </c>
      <c r="Q370" s="16" t="n">
        <v>245031</v>
      </c>
      <c r="R370" s="17" t="n">
        <v>0</v>
      </c>
      <c r="S370" s="17" t="n">
        <v>0</v>
      </c>
      <c r="T370" s="17" t="n">
        <v>0</v>
      </c>
      <c r="U370" s="18" t="n">
        <v>0</v>
      </c>
    </row>
    <row r="371">
      <c r="A371" s="13" t="n">
        <v>45008</v>
      </c>
      <c r="B371" s="4">
        <f>TEXT(A371,"ddd")</f>
        <v/>
      </c>
      <c r="C371" s="14" t="n">
        <v>1974</v>
      </c>
      <c r="D371" s="14" t="n">
        <v>2006.1</v>
      </c>
      <c r="E371" s="14" t="n">
        <v>1967.3</v>
      </c>
      <c r="F371" s="14" t="n">
        <v>1995.9</v>
      </c>
      <c r="G371" s="9">
        <f>F371-F370</f>
        <v/>
      </c>
      <c r="H371" s="10">
        <f>IF(F370=0,0,G371/F370)</f>
        <v/>
      </c>
      <c r="I371" s="8">
        <f>D371-E371</f>
        <v/>
      </c>
      <c r="J371" s="4">
        <f>IF(F371&gt;C371,"Up",IF(F371&lt;C371,"Down","Flat"))</f>
        <v/>
      </c>
      <c r="K371" s="14" t="n">
        <v>35.86</v>
      </c>
      <c r="L371" s="15" t="n">
        <v>68.86</v>
      </c>
      <c r="M371" s="14" t="n">
        <v>1910.59</v>
      </c>
      <c r="N371" s="14" t="n">
        <v>1879.84</v>
      </c>
      <c r="O371" s="14" t="n">
        <v>1821.28</v>
      </c>
      <c r="P371" s="4">
        <f>IF(O371="","",IF(F371&gt;O371,"Above","Below"))</f>
        <v/>
      </c>
      <c r="Q371" s="16" t="n">
        <v>262247</v>
      </c>
      <c r="R371" s="17" t="n">
        <v>0</v>
      </c>
      <c r="S371" s="17" t="n">
        <v>0</v>
      </c>
      <c r="T371" s="17" t="n">
        <v>0</v>
      </c>
      <c r="U371" s="18" t="n">
        <v>0</v>
      </c>
    </row>
    <row r="372">
      <c r="A372" s="13" t="n">
        <v>45009</v>
      </c>
      <c r="B372" s="4">
        <f>TEXT(A372,"ddd")</f>
        <v/>
      </c>
      <c r="C372" s="14" t="n">
        <v>1996.1</v>
      </c>
      <c r="D372" s="14" t="n">
        <v>2006.5</v>
      </c>
      <c r="E372" s="14" t="n">
        <v>1977.7</v>
      </c>
      <c r="F372" s="14" t="n">
        <v>1983.8</v>
      </c>
      <c r="G372" s="9">
        <f>F372-F371</f>
        <v/>
      </c>
      <c r="H372" s="10">
        <f>IF(F371=0,0,G372/F371)</f>
        <v/>
      </c>
      <c r="I372" s="8">
        <f>D372-E372</f>
        <v/>
      </c>
      <c r="J372" s="4">
        <f>IF(F372&gt;C372,"Up",IF(F372&lt;C372,"Down","Flat"))</f>
        <v/>
      </c>
      <c r="K372" s="14" t="n">
        <v>35.36</v>
      </c>
      <c r="L372" s="15" t="n">
        <v>65.70999999999999</v>
      </c>
      <c r="M372" s="14" t="n">
        <v>1917.56</v>
      </c>
      <c r="N372" s="14" t="n">
        <v>1883.91</v>
      </c>
      <c r="O372" s="14" t="n">
        <v>1822.9</v>
      </c>
      <c r="P372" s="4">
        <f>IF(O372="","",IF(F372&gt;O372,"Above","Below"))</f>
        <v/>
      </c>
      <c r="Q372" s="16" t="n">
        <v>285442</v>
      </c>
      <c r="R372" s="17" t="n">
        <v>0</v>
      </c>
      <c r="S372" s="17" t="n">
        <v>0</v>
      </c>
      <c r="T372" s="17" t="n">
        <v>0</v>
      </c>
      <c r="U372" s="18" t="n">
        <v>0</v>
      </c>
    </row>
    <row r="373">
      <c r="A373" s="13" t="n">
        <v>45012</v>
      </c>
      <c r="B373" s="4">
        <f>TEXT(A373,"ddd")</f>
        <v/>
      </c>
      <c r="C373" s="14" t="n">
        <v>1982.6</v>
      </c>
      <c r="D373" s="14" t="n">
        <v>1984</v>
      </c>
      <c r="E373" s="14" t="n">
        <v>1945</v>
      </c>
      <c r="F373" s="14" t="n">
        <v>1953.8</v>
      </c>
      <c r="G373" s="9">
        <f>F373-F372</f>
        <v/>
      </c>
      <c r="H373" s="10">
        <f>IF(F372=0,0,G373/F372)</f>
        <v/>
      </c>
      <c r="I373" s="8">
        <f>D373-E373</f>
        <v/>
      </c>
      <c r="J373" s="4">
        <f>IF(F373&gt;C373,"Up",IF(F373&lt;C373,"Down","Flat"))</f>
        <v/>
      </c>
      <c r="K373" s="14" t="n">
        <v>35.62</v>
      </c>
      <c r="L373" s="15" t="n">
        <v>58.56</v>
      </c>
      <c r="M373" s="14" t="n">
        <v>1921.01</v>
      </c>
      <c r="N373" s="14" t="n">
        <v>1886.65</v>
      </c>
      <c r="O373" s="14" t="n">
        <v>1824.2</v>
      </c>
      <c r="P373" s="4">
        <f>IF(O373="","",IF(F373&gt;O373,"Above","Below"))</f>
        <v/>
      </c>
      <c r="Q373" s="16" t="n">
        <v>206630</v>
      </c>
      <c r="R373" s="17" t="n">
        <v>0</v>
      </c>
      <c r="S373" s="17" t="n">
        <v>0</v>
      </c>
      <c r="T373" s="17" t="n">
        <v>0</v>
      </c>
      <c r="U373" s="18" t="n">
        <v>0</v>
      </c>
    </row>
    <row r="374">
      <c r="A374" s="13" t="n">
        <v>45013</v>
      </c>
      <c r="B374" s="4">
        <f>TEXT(A374,"ddd")</f>
        <v/>
      </c>
      <c r="C374" s="14" t="n">
        <v>1957.8</v>
      </c>
      <c r="D374" s="14" t="n">
        <v>1977.1</v>
      </c>
      <c r="E374" s="14" t="n">
        <v>1949.9</v>
      </c>
      <c r="F374" s="14" t="n">
        <v>1973.5</v>
      </c>
      <c r="G374" s="9">
        <f>F374-F373</f>
        <v/>
      </c>
      <c r="H374" s="10">
        <f>IF(F373=0,0,G374/F373)</f>
        <v/>
      </c>
      <c r="I374" s="8">
        <f>D374-E374</f>
        <v/>
      </c>
      <c r="J374" s="4">
        <f>IF(F374&gt;C374,"Up",IF(F374&lt;C374,"Down","Flat"))</f>
        <v/>
      </c>
      <c r="K374" s="14" t="n">
        <v>35.02</v>
      </c>
      <c r="L374" s="15" t="n">
        <v>61.52</v>
      </c>
      <c r="M374" s="14" t="n">
        <v>1926.01</v>
      </c>
      <c r="N374" s="14" t="n">
        <v>1890.06</v>
      </c>
      <c r="O374" s="14" t="n">
        <v>1825.68</v>
      </c>
      <c r="P374" s="4">
        <f>IF(O374="","",IF(F374&gt;O374,"Above","Below"))</f>
        <v/>
      </c>
      <c r="Q374" s="16" t="n">
        <v>183582</v>
      </c>
      <c r="R374" s="17" t="n">
        <v>0</v>
      </c>
      <c r="S374" s="17" t="n">
        <v>0</v>
      </c>
      <c r="T374" s="17" t="n">
        <v>0</v>
      </c>
      <c r="U374" s="18" t="n">
        <v>0</v>
      </c>
    </row>
    <row r="375">
      <c r="A375" s="13" t="n">
        <v>45014</v>
      </c>
      <c r="B375" s="4">
        <f>TEXT(A375,"ddd")</f>
        <v/>
      </c>
      <c r="C375" s="14" t="n">
        <v>1975.4</v>
      </c>
      <c r="D375" s="14" t="n">
        <v>1976</v>
      </c>
      <c r="E375" s="14" t="n">
        <v>1959.5</v>
      </c>
      <c r="F375" s="14" t="n">
        <v>1966.9</v>
      </c>
      <c r="G375" s="9">
        <f>F375-F374</f>
        <v/>
      </c>
      <c r="H375" s="10">
        <f>IF(F374=0,0,G375/F374)</f>
        <v/>
      </c>
      <c r="I375" s="8">
        <f>D375-E375</f>
        <v/>
      </c>
      <c r="J375" s="4">
        <f>IF(F375&gt;C375,"Up",IF(F375&lt;C375,"Down","Flat"))</f>
        <v/>
      </c>
      <c r="K375" s="14" t="n">
        <v>33.7</v>
      </c>
      <c r="L375" s="15" t="n">
        <v>59.97</v>
      </c>
      <c r="M375" s="14" t="n">
        <v>1929.9</v>
      </c>
      <c r="N375" s="14" t="n">
        <v>1893.07</v>
      </c>
      <c r="O375" s="14" t="n">
        <v>1827.09</v>
      </c>
      <c r="P375" s="4">
        <f>IF(O375="","",IF(F375&gt;O375,"Above","Below"))</f>
        <v/>
      </c>
      <c r="Q375" s="16" t="n">
        <v>88563</v>
      </c>
      <c r="R375" s="17" t="n">
        <v>0</v>
      </c>
      <c r="S375" s="17" t="n">
        <v>0</v>
      </c>
      <c r="T375" s="17" t="n">
        <v>0</v>
      </c>
      <c r="U375" s="18" t="n">
        <v>0</v>
      </c>
    </row>
    <row r="376">
      <c r="A376" s="13" t="n">
        <v>45015</v>
      </c>
      <c r="B376" s="4">
        <f>TEXT(A376,"ddd")</f>
        <v/>
      </c>
      <c r="C376" s="14" t="n">
        <v>1965.9</v>
      </c>
      <c r="D376" s="14" t="n">
        <v>1984.4</v>
      </c>
      <c r="E376" s="14" t="n">
        <v>1954.9</v>
      </c>
      <c r="F376" s="14" t="n">
        <v>1980.3</v>
      </c>
      <c r="G376" s="9">
        <f>F376-F375</f>
        <v/>
      </c>
      <c r="H376" s="10">
        <f>IF(F375=0,0,G376/F375)</f>
        <v/>
      </c>
      <c r="I376" s="8">
        <f>D376-E376</f>
        <v/>
      </c>
      <c r="J376" s="4">
        <f>IF(F376&gt;C376,"Up",IF(F376&lt;C376,"Down","Flat"))</f>
        <v/>
      </c>
      <c r="K376" s="14" t="n">
        <v>33.4</v>
      </c>
      <c r="L376" s="15" t="n">
        <v>62.06</v>
      </c>
      <c r="M376" s="14" t="n">
        <v>1934.7</v>
      </c>
      <c r="N376" s="14" t="n">
        <v>1896.49</v>
      </c>
      <c r="O376" s="14" t="n">
        <v>1828.61</v>
      </c>
      <c r="P376" s="4">
        <f>IF(O376="","",IF(F376&gt;O376,"Above","Below"))</f>
        <v/>
      </c>
      <c r="Q376" s="16" t="n">
        <v>10119</v>
      </c>
      <c r="R376" s="17" t="n">
        <v>0</v>
      </c>
      <c r="S376" s="17" t="n">
        <v>0</v>
      </c>
      <c r="T376" s="17" t="n">
        <v>0</v>
      </c>
      <c r="U376" s="18" t="n">
        <v>0</v>
      </c>
    </row>
    <row r="377">
      <c r="A377" s="13" t="n">
        <v>45016</v>
      </c>
      <c r="B377" s="4">
        <f>TEXT(A377,"ddd")</f>
        <v/>
      </c>
      <c r="C377" s="14" t="n">
        <v>1981.3</v>
      </c>
      <c r="D377" s="14" t="n">
        <v>1986.8</v>
      </c>
      <c r="E377" s="14" t="n">
        <v>1968</v>
      </c>
      <c r="F377" s="14" t="n">
        <v>1969</v>
      </c>
      <c r="G377" s="9">
        <f>F377-F376</f>
        <v/>
      </c>
      <c r="H377" s="10">
        <f>IF(F376=0,0,G377/F376)</f>
        <v/>
      </c>
      <c r="I377" s="8">
        <f>D377-E377</f>
        <v/>
      </c>
      <c r="J377" s="4">
        <f>IF(F377&gt;C377,"Up",IF(F377&lt;C377,"Down","Flat"))</f>
        <v/>
      </c>
      <c r="K377" s="14" t="n">
        <v>32.35</v>
      </c>
      <c r="L377" s="15" t="n">
        <v>59.26</v>
      </c>
      <c r="M377" s="14" t="n">
        <v>1937.97</v>
      </c>
      <c r="N377" s="14" t="n">
        <v>1899.34</v>
      </c>
      <c r="O377" s="14" t="n">
        <v>1830.01</v>
      </c>
      <c r="P377" s="4">
        <f>IF(O377="","",IF(F377&gt;O377,"Above","Below"))</f>
        <v/>
      </c>
      <c r="Q377" s="16" t="n">
        <v>162212</v>
      </c>
      <c r="R377" s="17" t="n">
        <v>0</v>
      </c>
      <c r="S377" s="17" t="n">
        <v>0</v>
      </c>
      <c r="T377" s="17" t="n">
        <v>0</v>
      </c>
      <c r="U377" s="18" t="n">
        <v>0</v>
      </c>
    </row>
    <row r="378">
      <c r="A378" s="13" t="n">
        <v>45019</v>
      </c>
      <c r="B378" s="4">
        <f>TEXT(A378,"ddd")</f>
        <v/>
      </c>
      <c r="C378" s="14" t="n">
        <v>1990</v>
      </c>
      <c r="D378" s="14" t="n">
        <v>2008</v>
      </c>
      <c r="E378" s="14" t="n">
        <v>1965.9</v>
      </c>
      <c r="F378" s="14" t="n">
        <v>2000.4</v>
      </c>
      <c r="G378" s="9">
        <f>F378-F377</f>
        <v/>
      </c>
      <c r="H378" s="10">
        <f>IF(F377=0,0,G378/F377)</f>
        <v/>
      </c>
      <c r="I378" s="8">
        <f>D378-E378</f>
        <v/>
      </c>
      <c r="J378" s="4">
        <f>IF(F378&gt;C378,"Up",IF(F378&lt;C378,"Down","Flat"))</f>
        <v/>
      </c>
      <c r="K378" s="14" t="n">
        <v>33.05</v>
      </c>
      <c r="L378" s="15" t="n">
        <v>64.11</v>
      </c>
      <c r="M378" s="14" t="n">
        <v>1943.92</v>
      </c>
      <c r="N378" s="14" t="n">
        <v>1903.3</v>
      </c>
      <c r="O378" s="14" t="n">
        <v>1831.71</v>
      </c>
      <c r="P378" s="4">
        <f>IF(O378="","",IF(F378&gt;O378,"Above","Below"))</f>
        <v/>
      </c>
      <c r="Q378" s="16" t="n">
        <v>187986</v>
      </c>
      <c r="R378" s="17" t="n">
        <v>0</v>
      </c>
      <c r="S378" s="17" t="n">
        <v>0</v>
      </c>
      <c r="T378" s="17" t="n">
        <v>0</v>
      </c>
      <c r="U378" s="18" t="n">
        <v>0</v>
      </c>
    </row>
    <row r="379">
      <c r="A379" s="13" t="n">
        <v>45020</v>
      </c>
      <c r="B379" s="4">
        <f>TEXT(A379,"ddd")</f>
        <v/>
      </c>
      <c r="C379" s="14" t="n">
        <v>2001.3</v>
      </c>
      <c r="D379" s="14" t="n">
        <v>2043.4</v>
      </c>
      <c r="E379" s="14" t="n">
        <v>1994</v>
      </c>
      <c r="F379" s="14" t="n">
        <v>2038.2</v>
      </c>
      <c r="G379" s="9">
        <f>F379-F378</f>
        <v/>
      </c>
      <c r="H379" s="10">
        <f>IF(F378=0,0,G379/F378)</f>
        <v/>
      </c>
      <c r="I379" s="8">
        <f>D379-E379</f>
        <v/>
      </c>
      <c r="J379" s="4">
        <f>IF(F379&gt;C379,"Up",IF(F379&lt;C379,"Down","Flat"))</f>
        <v/>
      </c>
      <c r="K379" s="14" t="n">
        <v>34.22</v>
      </c>
      <c r="L379" s="15" t="n">
        <v>68.91</v>
      </c>
      <c r="M379" s="14" t="n">
        <v>1952.9</v>
      </c>
      <c r="N379" s="14" t="n">
        <v>1908.59</v>
      </c>
      <c r="O379" s="14" t="n">
        <v>1833.76</v>
      </c>
      <c r="P379" s="4">
        <f>IF(O379="","",IF(F379&gt;O379,"Above","Below"))</f>
        <v/>
      </c>
      <c r="Q379" s="16" t="n">
        <v>233301</v>
      </c>
      <c r="R379" s="17" t="n">
        <v>0</v>
      </c>
      <c r="S379" s="17" t="n">
        <v>0</v>
      </c>
      <c r="T379" s="17" t="n">
        <v>0</v>
      </c>
      <c r="U379" s="18" t="n">
        <v>0</v>
      </c>
    </row>
    <row r="380">
      <c r="A380" s="13" t="n">
        <v>45021</v>
      </c>
      <c r="B380" s="4">
        <f>TEXT(A380,"ddd")</f>
        <v/>
      </c>
      <c r="C380" s="14" t="n">
        <v>2038.2</v>
      </c>
      <c r="D380" s="14" t="n">
        <v>2049.2</v>
      </c>
      <c r="E380" s="14" t="n">
        <v>2026.1</v>
      </c>
      <c r="F380" s="14" t="n">
        <v>2035.6</v>
      </c>
      <c r="G380" s="9">
        <f>F380-F379</f>
        <v/>
      </c>
      <c r="H380" s="10">
        <f>IF(F379=0,0,G380/F379)</f>
        <v/>
      </c>
      <c r="I380" s="8">
        <f>D380-E380</f>
        <v/>
      </c>
      <c r="J380" s="4">
        <f>IF(F380&gt;C380,"Up",IF(F380&lt;C380,"Down","Flat"))</f>
        <v/>
      </c>
      <c r="K380" s="14" t="n">
        <v>33.42</v>
      </c>
      <c r="L380" s="15" t="n">
        <v>68.23</v>
      </c>
      <c r="M380" s="14" t="n">
        <v>1960.77</v>
      </c>
      <c r="N380" s="14" t="n">
        <v>1913.57</v>
      </c>
      <c r="O380" s="14" t="n">
        <v>1835.77</v>
      </c>
      <c r="P380" s="4">
        <f>IF(O380="","",IF(F380&gt;O380,"Above","Below"))</f>
        <v/>
      </c>
      <c r="Q380" s="16" t="n">
        <v>197371</v>
      </c>
      <c r="R380" s="17" t="n">
        <v>0</v>
      </c>
      <c r="S380" s="17" t="n">
        <v>0</v>
      </c>
      <c r="T380" s="17" t="n">
        <v>0</v>
      </c>
      <c r="U380" s="18" t="n">
        <v>0</v>
      </c>
    </row>
    <row r="381">
      <c r="A381" s="13" t="n">
        <v>45022</v>
      </c>
      <c r="B381" s="4">
        <f>TEXT(A381,"ddd")</f>
        <v/>
      </c>
      <c r="C381" s="14" t="n">
        <v>2037.1</v>
      </c>
      <c r="D381" s="14" t="n">
        <v>2037.7</v>
      </c>
      <c r="E381" s="14" t="n">
        <v>2016.5</v>
      </c>
      <c r="F381" s="14" t="n">
        <v>2026.4</v>
      </c>
      <c r="G381" s="9">
        <f>F381-F380</f>
        <v/>
      </c>
      <c r="H381" s="10">
        <f>IF(F380=0,0,G381/F380)</f>
        <v/>
      </c>
      <c r="I381" s="8">
        <f>D381-E381</f>
        <v/>
      </c>
      <c r="J381" s="4">
        <f>IF(F381&gt;C381,"Up",IF(F381&lt;C381,"Down","Flat"))</f>
        <v/>
      </c>
      <c r="K381" s="14" t="n">
        <v>32.55</v>
      </c>
      <c r="L381" s="15" t="n">
        <v>65.77</v>
      </c>
      <c r="M381" s="14" t="n">
        <v>1967.02</v>
      </c>
      <c r="N381" s="14" t="n">
        <v>1918</v>
      </c>
      <c r="O381" s="14" t="n">
        <v>1837.67</v>
      </c>
      <c r="P381" s="4">
        <f>IF(O381="","",IF(F381&gt;O381,"Above","Below"))</f>
        <v/>
      </c>
      <c r="Q381" s="16" t="n">
        <v>0</v>
      </c>
      <c r="R381" s="17" t="n">
        <v>0</v>
      </c>
      <c r="S381" s="17" t="n">
        <v>0</v>
      </c>
      <c r="T381" s="17" t="n">
        <v>0</v>
      </c>
      <c r="U381" s="18" t="n">
        <v>0</v>
      </c>
    </row>
    <row r="382">
      <c r="A382" s="13" t="n">
        <v>45026</v>
      </c>
      <c r="B382" s="4">
        <f>TEXT(A382,"ddd")</f>
        <v/>
      </c>
      <c r="C382" s="14" t="n">
        <v>2008.6</v>
      </c>
      <c r="D382" s="14" t="n">
        <v>2021.5</v>
      </c>
      <c r="E382" s="14" t="n">
        <v>1996.5</v>
      </c>
      <c r="F382" s="14" t="n">
        <v>2003.8</v>
      </c>
      <c r="G382" s="9">
        <f>F382-F381</f>
        <v/>
      </c>
      <c r="H382" s="10">
        <f>IF(F381=0,0,G382/F381)</f>
        <v/>
      </c>
      <c r="I382" s="8">
        <f>D382-E382</f>
        <v/>
      </c>
      <c r="J382" s="4">
        <f>IF(F382&gt;C382,"Up",IF(F382&lt;C382,"Down","Flat"))</f>
        <v/>
      </c>
      <c r="K382" s="14" t="n">
        <v>32.36</v>
      </c>
      <c r="L382" s="15" t="n">
        <v>60.05</v>
      </c>
      <c r="M382" s="14" t="n">
        <v>1970.53</v>
      </c>
      <c r="N382" s="14" t="n">
        <v>1921.36</v>
      </c>
      <c r="O382" s="14" t="n">
        <v>1839.32</v>
      </c>
      <c r="P382" s="4">
        <f>IF(O382="","",IF(F382&gt;O382,"Above","Below"))</f>
        <v/>
      </c>
      <c r="Q382" s="16" t="n">
        <v>136231</v>
      </c>
      <c r="R382" s="17" t="n">
        <v>0</v>
      </c>
      <c r="S382" s="17" t="n">
        <v>0</v>
      </c>
      <c r="T382" s="17" t="n">
        <v>0</v>
      </c>
      <c r="U382" s="18" t="n">
        <v>0</v>
      </c>
    </row>
    <row r="383">
      <c r="A383" s="13" t="n">
        <v>45027</v>
      </c>
      <c r="B383" s="4">
        <f>TEXT(A383,"ddd")</f>
        <v/>
      </c>
      <c r="C383" s="14" t="n">
        <v>2007</v>
      </c>
      <c r="D383" s="14" t="n">
        <v>2022.5</v>
      </c>
      <c r="E383" s="14" t="n">
        <v>2003.7</v>
      </c>
      <c r="F383" s="14" t="n">
        <v>2019</v>
      </c>
      <c r="G383" s="9">
        <f>F383-F382</f>
        <v/>
      </c>
      <c r="H383" s="10">
        <f>IF(F382=0,0,G383/F382)</f>
        <v/>
      </c>
      <c r="I383" s="8">
        <f>D383-E383</f>
        <v/>
      </c>
      <c r="J383" s="4">
        <f>IF(F383&gt;C383,"Up",IF(F383&lt;C383,"Down","Flat"))</f>
        <v/>
      </c>
      <c r="K383" s="14" t="n">
        <v>31.39</v>
      </c>
      <c r="L383" s="15" t="n">
        <v>62.42</v>
      </c>
      <c r="M383" s="14" t="n">
        <v>1975.14</v>
      </c>
      <c r="N383" s="14" t="n">
        <v>1925.19</v>
      </c>
      <c r="O383" s="14" t="n">
        <v>1841.11</v>
      </c>
      <c r="P383" s="4">
        <f>IF(O383="","",IF(F383&gt;O383,"Above","Below"))</f>
        <v/>
      </c>
      <c r="Q383" s="16" t="n">
        <v>126376</v>
      </c>
      <c r="R383" s="17" t="n">
        <v>0</v>
      </c>
      <c r="S383" s="17" t="n">
        <v>0</v>
      </c>
      <c r="T383" s="17" t="n">
        <v>0</v>
      </c>
      <c r="U383" s="18" t="n">
        <v>0</v>
      </c>
    </row>
    <row r="384">
      <c r="A384" s="13" t="n">
        <v>45028</v>
      </c>
      <c r="B384" s="4">
        <f>TEXT(A384,"ddd")</f>
        <v/>
      </c>
      <c r="C384" s="14" t="n">
        <v>2019.1</v>
      </c>
      <c r="D384" s="14" t="n">
        <v>2043.9</v>
      </c>
      <c r="E384" s="14" t="n">
        <v>2015.7</v>
      </c>
      <c r="F384" s="14" t="n">
        <v>2024.9</v>
      </c>
      <c r="G384" s="9">
        <f>F384-F383</f>
        <v/>
      </c>
      <c r="H384" s="10">
        <f>IF(F383=0,0,G384/F383)</f>
        <v/>
      </c>
      <c r="I384" s="8">
        <f>D384-E384</f>
        <v/>
      </c>
      <c r="J384" s="4">
        <f>IF(F384&gt;C384,"Up",IF(F384&lt;C384,"Down","Flat"))</f>
        <v/>
      </c>
      <c r="K384" s="14" t="n">
        <v>31.16</v>
      </c>
      <c r="L384" s="15" t="n">
        <v>63.33</v>
      </c>
      <c r="M384" s="14" t="n">
        <v>1979.88</v>
      </c>
      <c r="N384" s="14" t="n">
        <v>1929.1</v>
      </c>
      <c r="O384" s="14" t="n">
        <v>1842.94</v>
      </c>
      <c r="P384" s="4">
        <f>IF(O384="","",IF(F384&gt;O384,"Above","Below"))</f>
        <v/>
      </c>
      <c r="Q384" s="16" t="n">
        <v>228494</v>
      </c>
      <c r="R384" s="17" t="n">
        <v>0</v>
      </c>
      <c r="S384" s="17" t="n">
        <v>0</v>
      </c>
      <c r="T384" s="17" t="n">
        <v>0</v>
      </c>
      <c r="U384" s="18" t="n">
        <v>0</v>
      </c>
    </row>
    <row r="385">
      <c r="A385" s="13" t="n">
        <v>45029</v>
      </c>
      <c r="B385" s="4">
        <f>TEXT(A385,"ddd")</f>
        <v/>
      </c>
      <c r="C385" s="14" t="n">
        <v>2029.5</v>
      </c>
      <c r="D385" s="14" t="n">
        <v>2063.4</v>
      </c>
      <c r="E385" s="14" t="n">
        <v>2028.3</v>
      </c>
      <c r="F385" s="14" t="n">
        <v>2055.3</v>
      </c>
      <c r="G385" s="9">
        <f>F385-F384</f>
        <v/>
      </c>
      <c r="H385" s="10">
        <f>IF(F384=0,0,G385/F384)</f>
        <v/>
      </c>
      <c r="I385" s="8">
        <f>D385-E385</f>
        <v/>
      </c>
      <c r="J385" s="4">
        <f>IF(F385&gt;C385,"Up",IF(F385&lt;C385,"Down","Flat"))</f>
        <v/>
      </c>
      <c r="K385" s="14" t="n">
        <v>31.69</v>
      </c>
      <c r="L385" s="15" t="n">
        <v>67.67</v>
      </c>
      <c r="M385" s="14" t="n">
        <v>1987.06</v>
      </c>
      <c r="N385" s="14" t="n">
        <v>1934.05</v>
      </c>
      <c r="O385" s="14" t="n">
        <v>1845.05</v>
      </c>
      <c r="P385" s="4">
        <f>IF(O385="","",IF(F385&gt;O385,"Above","Below"))</f>
        <v/>
      </c>
      <c r="Q385" s="16" t="n">
        <v>198461</v>
      </c>
      <c r="R385" s="17" t="n">
        <v>0</v>
      </c>
      <c r="S385" s="17" t="n">
        <v>0</v>
      </c>
      <c r="T385" s="17" t="n">
        <v>0</v>
      </c>
      <c r="U385" s="18" t="n">
        <v>0</v>
      </c>
    </row>
    <row r="386">
      <c r="A386" s="13" t="n">
        <v>45030</v>
      </c>
      <c r="B386" s="4">
        <f>TEXT(A386,"ddd")</f>
        <v/>
      </c>
      <c r="C386" s="14" t="n">
        <v>2054.7</v>
      </c>
      <c r="D386" s="14" t="n">
        <v>2061.6</v>
      </c>
      <c r="E386" s="14" t="n">
        <v>2006</v>
      </c>
      <c r="F386" s="14" t="n">
        <v>2015.8</v>
      </c>
      <c r="G386" s="9">
        <f>F386-F385</f>
        <v/>
      </c>
      <c r="H386" s="10">
        <f>IF(F385=0,0,G386/F385)</f>
        <v/>
      </c>
      <c r="I386" s="8">
        <f>D386-E386</f>
        <v/>
      </c>
      <c r="J386" s="4">
        <f>IF(F386&gt;C386,"Up",IF(F386&lt;C386,"Down","Flat"))</f>
        <v/>
      </c>
      <c r="K386" s="14" t="n">
        <v>33.4</v>
      </c>
      <c r="L386" s="15" t="n">
        <v>58.05</v>
      </c>
      <c r="M386" s="14" t="n">
        <v>1989.8</v>
      </c>
      <c r="N386" s="14" t="n">
        <v>1937.25</v>
      </c>
      <c r="O386" s="14" t="n">
        <v>1846.75</v>
      </c>
      <c r="P386" s="4">
        <f>IF(O386="","",IF(F386&gt;O386,"Above","Below"))</f>
        <v/>
      </c>
      <c r="Q386" s="16" t="n">
        <v>262825</v>
      </c>
      <c r="R386" s="17" t="n">
        <v>0</v>
      </c>
      <c r="S386" s="17" t="n">
        <v>0</v>
      </c>
      <c r="T386" s="17" t="n">
        <v>0</v>
      </c>
      <c r="U386" s="18" t="n">
        <v>0</v>
      </c>
    </row>
    <row r="387">
      <c r="A387" s="13" t="n">
        <v>45033</v>
      </c>
      <c r="B387" s="4">
        <f>TEXT(A387,"ddd")</f>
        <v/>
      </c>
      <c r="C387" s="14" t="n">
        <v>2014.1</v>
      </c>
      <c r="D387" s="14" t="n">
        <v>2028</v>
      </c>
      <c r="E387" s="14" t="n">
        <v>1993.4</v>
      </c>
      <c r="F387" s="14" t="n">
        <v>2007</v>
      </c>
      <c r="G387" s="9">
        <f>F387-F386</f>
        <v/>
      </c>
      <c r="H387" s="10">
        <f>IF(F386=0,0,G387/F386)</f>
        <v/>
      </c>
      <c r="I387" s="8">
        <f>D387-E387</f>
        <v/>
      </c>
      <c r="J387" s="4">
        <f>IF(F387&gt;C387,"Up",IF(F387&lt;C387,"Down","Flat"))</f>
        <v/>
      </c>
      <c r="K387" s="14" t="n">
        <v>33.48</v>
      </c>
      <c r="L387" s="15" t="n">
        <v>56.14</v>
      </c>
      <c r="M387" s="14" t="n">
        <v>1991.44</v>
      </c>
      <c r="N387" s="14" t="n">
        <v>1939.99</v>
      </c>
      <c r="O387" s="14" t="n">
        <v>1848.34</v>
      </c>
      <c r="P387" s="4">
        <f>IF(O387="","",IF(F387&gt;O387,"Above","Below"))</f>
        <v/>
      </c>
      <c r="Q387" s="16" t="n">
        <v>183425</v>
      </c>
      <c r="R387" s="17" t="n">
        <v>0</v>
      </c>
      <c r="S387" s="17" t="n">
        <v>0</v>
      </c>
      <c r="T387" s="17" t="n">
        <v>0</v>
      </c>
      <c r="U387" s="18" t="n">
        <v>0</v>
      </c>
    </row>
    <row r="388">
      <c r="A388" s="13" t="n">
        <v>45034</v>
      </c>
      <c r="B388" s="4">
        <f>TEXT(A388,"ddd")</f>
        <v/>
      </c>
      <c r="C388" s="14" t="n">
        <v>2007.9</v>
      </c>
      <c r="D388" s="14" t="n">
        <v>2024.6</v>
      </c>
      <c r="E388" s="14" t="n">
        <v>2003.3</v>
      </c>
      <c r="F388" s="14" t="n">
        <v>2019.7</v>
      </c>
      <c r="G388" s="9">
        <f>F388-F387</f>
        <v/>
      </c>
      <c r="H388" s="10">
        <f>IF(F387=0,0,G388/F387)</f>
        <v/>
      </c>
      <c r="I388" s="8">
        <f>D388-E388</f>
        <v/>
      </c>
      <c r="J388" s="4">
        <f>IF(F388&gt;C388,"Up",IF(F388&lt;C388,"Down","Flat"))</f>
        <v/>
      </c>
      <c r="K388" s="14" t="n">
        <v>32.61</v>
      </c>
      <c r="L388" s="15" t="n">
        <v>58.28</v>
      </c>
      <c r="M388" s="14" t="n">
        <v>1994.13</v>
      </c>
      <c r="N388" s="14" t="n">
        <v>1943.12</v>
      </c>
      <c r="O388" s="14" t="n">
        <v>1850.05</v>
      </c>
      <c r="P388" s="4">
        <f>IF(O388="","",IF(F388&gt;O388,"Above","Below"))</f>
        <v/>
      </c>
      <c r="Q388" s="16" t="n">
        <v>164975</v>
      </c>
      <c r="R388" s="17" t="n">
        <v>0</v>
      </c>
      <c r="S388" s="17" t="n">
        <v>0</v>
      </c>
      <c r="T388" s="17" t="n">
        <v>0</v>
      </c>
      <c r="U388" s="18" t="n">
        <v>0</v>
      </c>
    </row>
    <row r="389">
      <c r="A389" s="13" t="n">
        <v>45035</v>
      </c>
      <c r="B389" s="4">
        <f>TEXT(A389,"ddd")</f>
        <v/>
      </c>
      <c r="C389" s="14" t="n">
        <v>2017.9</v>
      </c>
      <c r="D389" s="14" t="n">
        <v>2020.3</v>
      </c>
      <c r="E389" s="14" t="n">
        <v>1980.9</v>
      </c>
      <c r="F389" s="14" t="n">
        <v>2007.3</v>
      </c>
      <c r="G389" s="9">
        <f>F389-F388</f>
        <v/>
      </c>
      <c r="H389" s="10">
        <f>IF(F388=0,0,G389/F388)</f>
        <v/>
      </c>
      <c r="I389" s="8">
        <f>D389-E389</f>
        <v/>
      </c>
      <c r="J389" s="4">
        <f>IF(F389&gt;C389,"Up",IF(F389&lt;C389,"Down","Flat"))</f>
        <v/>
      </c>
      <c r="K389" s="14" t="n">
        <v>33.1</v>
      </c>
      <c r="L389" s="15" t="n">
        <v>55.44</v>
      </c>
      <c r="M389" s="14" t="n">
        <v>1995.38</v>
      </c>
      <c r="N389" s="14" t="n">
        <v>1945.63</v>
      </c>
      <c r="O389" s="14" t="n">
        <v>1851.61</v>
      </c>
      <c r="P389" s="4">
        <f>IF(O389="","",IF(F389&gt;O389,"Above","Below"))</f>
        <v/>
      </c>
      <c r="Q389" s="16" t="n">
        <v>218808</v>
      </c>
      <c r="R389" s="17" t="n">
        <v>0</v>
      </c>
      <c r="S389" s="17" t="n">
        <v>0</v>
      </c>
      <c r="T389" s="17" t="n">
        <v>0</v>
      </c>
      <c r="U389" s="18" t="n">
        <v>0</v>
      </c>
    </row>
    <row r="390">
      <c r="A390" s="13" t="n">
        <v>45036</v>
      </c>
      <c r="B390" s="4">
        <f>TEXT(A390,"ddd")</f>
        <v/>
      </c>
      <c r="C390" s="14" t="n">
        <v>2007.7</v>
      </c>
      <c r="D390" s="14" t="n">
        <v>2024.2</v>
      </c>
      <c r="E390" s="14" t="n">
        <v>2002.2</v>
      </c>
      <c r="F390" s="14" t="n">
        <v>2019.1</v>
      </c>
      <c r="G390" s="9">
        <f>F390-F389</f>
        <v/>
      </c>
      <c r="H390" s="10">
        <f>IF(F389=0,0,G390/F389)</f>
        <v/>
      </c>
      <c r="I390" s="8">
        <f>D390-E390</f>
        <v/>
      </c>
      <c r="J390" s="4">
        <f>IF(F390&gt;C390,"Up",IF(F390&lt;C390,"Down","Flat"))</f>
        <v/>
      </c>
      <c r="K390" s="14" t="n">
        <v>32.3</v>
      </c>
      <c r="L390" s="15" t="n">
        <v>57.56</v>
      </c>
      <c r="M390" s="14" t="n">
        <v>1997.64</v>
      </c>
      <c r="N390" s="14" t="n">
        <v>1948.51</v>
      </c>
      <c r="O390" s="14" t="n">
        <v>1853.28</v>
      </c>
      <c r="P390" s="4">
        <f>IF(O390="","",IF(F390&gt;O390,"Above","Below"))</f>
        <v/>
      </c>
      <c r="Q390" s="16" t="n">
        <v>162840</v>
      </c>
      <c r="R390" s="17" t="n">
        <v>0</v>
      </c>
      <c r="S390" s="17" t="n">
        <v>0</v>
      </c>
      <c r="T390" s="17" t="n">
        <v>0</v>
      </c>
      <c r="U390" s="18" t="n">
        <v>0</v>
      </c>
    </row>
    <row r="391">
      <c r="A391" s="13" t="n">
        <v>45037</v>
      </c>
      <c r="B391" s="4">
        <f>TEXT(A391,"ddd")</f>
        <v/>
      </c>
      <c r="C391" s="14" t="n">
        <v>2016.1</v>
      </c>
      <c r="D391" s="14" t="n">
        <v>2016.8</v>
      </c>
      <c r="E391" s="14" t="n">
        <v>1982.3</v>
      </c>
      <c r="F391" s="14" t="n">
        <v>1990.5</v>
      </c>
      <c r="G391" s="9">
        <f>F391-F390</f>
        <v/>
      </c>
      <c r="H391" s="10">
        <f>IF(F390=0,0,G391/F390)</f>
        <v/>
      </c>
      <c r="I391" s="8">
        <f>D391-E391</f>
        <v/>
      </c>
      <c r="J391" s="4">
        <f>IF(F391&gt;C391,"Up",IF(F391&lt;C391,"Down","Flat"))</f>
        <v/>
      </c>
      <c r="K391" s="14" t="n">
        <v>32.63</v>
      </c>
      <c r="L391" s="15" t="n">
        <v>51.2</v>
      </c>
      <c r="M391" s="14" t="n">
        <v>1996.96</v>
      </c>
      <c r="N391" s="14" t="n">
        <v>1950.16</v>
      </c>
      <c r="O391" s="14" t="n">
        <v>1854.64</v>
      </c>
      <c r="P391" s="4">
        <f>IF(O391="","",IF(F391&gt;O391,"Above","Below"))</f>
        <v/>
      </c>
      <c r="Q391" s="16" t="n">
        <v>210502</v>
      </c>
      <c r="R391" s="17" t="n">
        <v>0</v>
      </c>
      <c r="S391" s="17" t="n">
        <v>0</v>
      </c>
      <c r="T391" s="17" t="n">
        <v>0</v>
      </c>
      <c r="U391" s="18" t="n">
        <v>0</v>
      </c>
    </row>
    <row r="392">
      <c r="A392" s="13" t="n">
        <v>45040</v>
      </c>
      <c r="B392" s="4">
        <f>TEXT(A392,"ddd")</f>
        <v/>
      </c>
      <c r="C392" s="14" t="n">
        <v>1992</v>
      </c>
      <c r="D392" s="14" t="n">
        <v>2001.5</v>
      </c>
      <c r="E392" s="14" t="n">
        <v>1984.4</v>
      </c>
      <c r="F392" s="14" t="n">
        <v>1999.8</v>
      </c>
      <c r="G392" s="9">
        <f>F392-F391</f>
        <v/>
      </c>
      <c r="H392" s="10">
        <f>IF(F391=0,0,G392/F391)</f>
        <v/>
      </c>
      <c r="I392" s="8">
        <f>D392-E392</f>
        <v/>
      </c>
      <c r="J392" s="4">
        <f>IF(F392&gt;C392,"Up",IF(F392&lt;C392,"Down","Flat"))</f>
        <v/>
      </c>
      <c r="K392" s="14" t="n">
        <v>31.52</v>
      </c>
      <c r="L392" s="15" t="n">
        <v>53.02</v>
      </c>
      <c r="M392" s="14" t="n">
        <v>1997.23</v>
      </c>
      <c r="N392" s="14" t="n">
        <v>1952.11</v>
      </c>
      <c r="O392" s="14" t="n">
        <v>1856.09</v>
      </c>
      <c r="P392" s="4">
        <f>IF(O392="","",IF(F392&gt;O392,"Above","Below"))</f>
        <v/>
      </c>
      <c r="Q392" s="16" t="n">
        <v>139878</v>
      </c>
      <c r="R392" s="17" t="n">
        <v>0</v>
      </c>
      <c r="S392" s="17" t="n">
        <v>0</v>
      </c>
      <c r="T392" s="17" t="n">
        <v>0</v>
      </c>
      <c r="U392" s="18" t="n">
        <v>0</v>
      </c>
    </row>
    <row r="393">
      <c r="A393" s="13" t="n">
        <v>45041</v>
      </c>
      <c r="B393" s="4">
        <f>TEXT(A393,"ddd")</f>
        <v/>
      </c>
      <c r="C393" s="14" t="n">
        <v>1999.4</v>
      </c>
      <c r="D393" s="14" t="n">
        <v>2014.5</v>
      </c>
      <c r="E393" s="14" t="n">
        <v>1986.2</v>
      </c>
      <c r="F393" s="14" t="n">
        <v>2004.5</v>
      </c>
      <c r="G393" s="9">
        <f>F393-F392</f>
        <v/>
      </c>
      <c r="H393" s="10">
        <f>IF(F392=0,0,G393/F392)</f>
        <v/>
      </c>
      <c r="I393" s="8">
        <f>D393-E393</f>
        <v/>
      </c>
      <c r="J393" s="4">
        <f>IF(F393&gt;C393,"Up",IF(F393&lt;C393,"Down","Flat"))</f>
        <v/>
      </c>
      <c r="K393" s="14" t="n">
        <v>31.29</v>
      </c>
      <c r="L393" s="15" t="n">
        <v>53.95</v>
      </c>
      <c r="M393" s="14" t="n">
        <v>1997.92</v>
      </c>
      <c r="N393" s="14" t="n">
        <v>1954.16</v>
      </c>
      <c r="O393" s="14" t="n">
        <v>1857.57</v>
      </c>
      <c r="P393" s="4">
        <f>IF(O393="","",IF(F393&gt;O393,"Above","Below"))</f>
        <v/>
      </c>
      <c r="Q393" s="16" t="n">
        <v>222551</v>
      </c>
      <c r="R393" s="17" t="n">
        <v>0</v>
      </c>
      <c r="S393" s="17" t="n">
        <v>0</v>
      </c>
      <c r="T393" s="17" t="n">
        <v>0</v>
      </c>
      <c r="U393" s="18" t="n">
        <v>0</v>
      </c>
    </row>
    <row r="394">
      <c r="A394" s="13" t="n">
        <v>45042</v>
      </c>
      <c r="B394" s="4">
        <f>TEXT(A394,"ddd")</f>
        <v/>
      </c>
      <c r="C394" s="14" t="n">
        <v>2007.7</v>
      </c>
      <c r="D394" s="14" t="n">
        <v>2020.2</v>
      </c>
      <c r="E394" s="14" t="n">
        <v>1993.7</v>
      </c>
      <c r="F394" s="14" t="n">
        <v>1996</v>
      </c>
      <c r="G394" s="9">
        <f>F394-F393</f>
        <v/>
      </c>
      <c r="H394" s="10">
        <f>IF(F393=0,0,G394/F393)</f>
        <v/>
      </c>
      <c r="I394" s="8">
        <f>D394-E394</f>
        <v/>
      </c>
      <c r="J394" s="4">
        <f>IF(F394&gt;C394,"Up",IF(F394&lt;C394,"Down","Flat"))</f>
        <v/>
      </c>
      <c r="K394" s="14" t="n">
        <v>30.94</v>
      </c>
      <c r="L394" s="15" t="n">
        <v>51.94</v>
      </c>
      <c r="M394" s="14" t="n">
        <v>1997.74</v>
      </c>
      <c r="N394" s="14" t="n">
        <v>1955.8</v>
      </c>
      <c r="O394" s="14" t="n">
        <v>1858.94</v>
      </c>
      <c r="P394" s="4">
        <f>IF(O394="","",IF(F394&gt;O394,"Above","Below"))</f>
        <v/>
      </c>
      <c r="Q394" s="16" t="n">
        <v>241399</v>
      </c>
      <c r="R394" s="17" t="n">
        <v>0</v>
      </c>
      <c r="S394" s="17" t="n">
        <v>0</v>
      </c>
      <c r="T394" s="17" t="n">
        <v>0</v>
      </c>
      <c r="U394" s="18" t="n">
        <v>0</v>
      </c>
    </row>
    <row r="395">
      <c r="A395" s="13" t="n">
        <v>45043</v>
      </c>
      <c r="B395" s="4">
        <f>TEXT(A395,"ddd")</f>
        <v/>
      </c>
      <c r="C395" s="14" t="n">
        <v>1999.8</v>
      </c>
      <c r="D395" s="14" t="n">
        <v>2013.3</v>
      </c>
      <c r="E395" s="14" t="n">
        <v>1982</v>
      </c>
      <c r="F395" s="14" t="n">
        <v>1999</v>
      </c>
      <c r="G395" s="9">
        <f>F395-F394</f>
        <v/>
      </c>
      <c r="H395" s="10">
        <f>IF(F394=0,0,G395/F394)</f>
        <v/>
      </c>
      <c r="I395" s="8">
        <f>D395-E395</f>
        <v/>
      </c>
      <c r="J395" s="4">
        <f>IF(F395&gt;C395,"Up",IF(F395&lt;C395,"Down","Flat"))</f>
        <v/>
      </c>
      <c r="K395" s="14" t="n">
        <v>30.97</v>
      </c>
      <c r="L395" s="15" t="n">
        <v>52.61</v>
      </c>
      <c r="M395" s="14" t="n">
        <v>1997.86</v>
      </c>
      <c r="N395" s="14" t="n">
        <v>1957.5</v>
      </c>
      <c r="O395" s="14" t="n">
        <v>1860.34</v>
      </c>
      <c r="P395" s="4">
        <f>IF(O395="","",IF(F395&gt;O395,"Above","Below"))</f>
        <v/>
      </c>
      <c r="Q395" s="16" t="n">
        <v>203898</v>
      </c>
      <c r="R395" s="17" t="n">
        <v>0</v>
      </c>
      <c r="S395" s="17" t="n">
        <v>0</v>
      </c>
      <c r="T395" s="17" t="n">
        <v>0</v>
      </c>
      <c r="U395" s="18" t="n">
        <v>0</v>
      </c>
    </row>
    <row r="396">
      <c r="A396" s="13" t="n">
        <v>45044</v>
      </c>
      <c r="B396" s="4">
        <f>TEXT(A396,"ddd")</f>
        <v/>
      </c>
      <c r="C396" s="14" t="n">
        <v>1997.2</v>
      </c>
      <c r="D396" s="14" t="n">
        <v>2004.1</v>
      </c>
      <c r="E396" s="14" t="n">
        <v>1984.4</v>
      </c>
      <c r="F396" s="14" t="n">
        <v>1999.1</v>
      </c>
      <c r="G396" s="9">
        <f>F396-F395</f>
        <v/>
      </c>
      <c r="H396" s="10">
        <f>IF(F395=0,0,G396/F395)</f>
        <v/>
      </c>
      <c r="I396" s="8">
        <f>D396-E396</f>
        <v/>
      </c>
      <c r="J396" s="4">
        <f>IF(F396&gt;C396,"Up",IF(F396&lt;C396,"Down","Flat"))</f>
        <v/>
      </c>
      <c r="K396" s="14" t="n">
        <v>30.17</v>
      </c>
      <c r="L396" s="15" t="n">
        <v>52.64</v>
      </c>
      <c r="M396" s="14" t="n">
        <v>1997.98</v>
      </c>
      <c r="N396" s="14" t="n">
        <v>1959.13</v>
      </c>
      <c r="O396" s="14" t="n">
        <v>1861.72</v>
      </c>
      <c r="P396" s="4">
        <f>IF(O396="","",IF(F396&gt;O396,"Above","Below"))</f>
        <v/>
      </c>
      <c r="Q396" s="16" t="n">
        <v>172445</v>
      </c>
      <c r="R396" s="17" t="n">
        <v>0</v>
      </c>
      <c r="S396" s="17" t="n">
        <v>0</v>
      </c>
      <c r="T396" s="17" t="n">
        <v>0</v>
      </c>
      <c r="U396" s="18" t="n">
        <v>0</v>
      </c>
    </row>
    <row r="397">
      <c r="A397" s="13" t="n">
        <v>45047</v>
      </c>
      <c r="B397" s="4">
        <f>TEXT(A397,"ddd")</f>
        <v/>
      </c>
      <c r="C397" s="14" t="n">
        <v>2000.2</v>
      </c>
      <c r="D397" s="14" t="n">
        <v>2015.4</v>
      </c>
      <c r="E397" s="14" t="n">
        <v>1985.7</v>
      </c>
      <c r="F397" s="14" t="n">
        <v>1992.2</v>
      </c>
      <c r="G397" s="9">
        <f>F397-F396</f>
        <v/>
      </c>
      <c r="H397" s="10">
        <f>IF(F396=0,0,G397/F396)</f>
        <v/>
      </c>
      <c r="I397" s="8">
        <f>D397-E397</f>
        <v/>
      </c>
      <c r="J397" s="4">
        <f>IF(F397&gt;C397,"Up",IF(F397&lt;C397,"Down","Flat"))</f>
        <v/>
      </c>
      <c r="K397" s="14" t="n">
        <v>30.13</v>
      </c>
      <c r="L397" s="15" t="n">
        <v>50.75</v>
      </c>
      <c r="M397" s="14" t="n">
        <v>1997.43</v>
      </c>
      <c r="N397" s="14" t="n">
        <v>1960.42</v>
      </c>
      <c r="O397" s="14" t="n">
        <v>1863.02</v>
      </c>
      <c r="P397" s="4">
        <f>IF(O397="","",IF(F397&gt;O397,"Above","Below"))</f>
        <v/>
      </c>
      <c r="Q397" s="16" t="n">
        <v>173016</v>
      </c>
      <c r="R397" s="17" t="n">
        <v>0</v>
      </c>
      <c r="S397" s="17" t="n">
        <v>0</v>
      </c>
      <c r="T397" s="17" t="n">
        <v>0</v>
      </c>
      <c r="U397" s="18" t="n">
        <v>0</v>
      </c>
    </row>
    <row r="398">
      <c r="A398" s="13" t="n">
        <v>45048</v>
      </c>
      <c r="B398" s="4">
        <f>TEXT(A398,"ddd")</f>
        <v/>
      </c>
      <c r="C398" s="14" t="n">
        <v>1990.5</v>
      </c>
      <c r="D398" s="14" t="n">
        <v>2028.8</v>
      </c>
      <c r="E398" s="14" t="n">
        <v>1986.9</v>
      </c>
      <c r="F398" s="14" t="n">
        <v>2023.3</v>
      </c>
      <c r="G398" s="9">
        <f>F398-F397</f>
        <v/>
      </c>
      <c r="H398" s="10">
        <f>IF(F397=0,0,G398/F397)</f>
        <v/>
      </c>
      <c r="I398" s="8">
        <f>D398-E398</f>
        <v/>
      </c>
      <c r="J398" s="4">
        <f>IF(F398&gt;C398,"Up",IF(F398&lt;C398,"Down","Flat"))</f>
        <v/>
      </c>
      <c r="K398" s="14" t="n">
        <v>30.97</v>
      </c>
      <c r="L398" s="15" t="n">
        <v>58.05</v>
      </c>
      <c r="M398" s="14" t="n">
        <v>1999.89</v>
      </c>
      <c r="N398" s="14" t="n">
        <v>1962.89</v>
      </c>
      <c r="O398" s="14" t="n">
        <v>1864.61</v>
      </c>
      <c r="P398" s="4">
        <f>IF(O398="","",IF(F398&gt;O398,"Above","Below"))</f>
        <v/>
      </c>
      <c r="Q398" s="16" t="n">
        <v>245637</v>
      </c>
      <c r="R398" s="17" t="n">
        <v>0</v>
      </c>
      <c r="S398" s="17" t="n">
        <v>0</v>
      </c>
      <c r="T398" s="17" t="n">
        <v>0</v>
      </c>
      <c r="U398" s="18" t="n">
        <v>0</v>
      </c>
    </row>
    <row r="399">
      <c r="A399" s="13" t="n">
        <v>45049</v>
      </c>
      <c r="B399" s="4">
        <f>TEXT(A399,"ddd")</f>
        <v/>
      </c>
      <c r="C399" s="14" t="n">
        <v>2026.4</v>
      </c>
      <c r="D399" s="14" t="n">
        <v>2050</v>
      </c>
      <c r="E399" s="14" t="n">
        <v>2016</v>
      </c>
      <c r="F399" s="14" t="n">
        <v>2037</v>
      </c>
      <c r="G399" s="9">
        <f>F399-F398</f>
        <v/>
      </c>
      <c r="H399" s="10">
        <f>IF(F398=0,0,G399/F398)</f>
        <v/>
      </c>
      <c r="I399" s="8">
        <f>D399-E399</f>
        <v/>
      </c>
      <c r="J399" s="4">
        <f>IF(F399&gt;C399,"Up",IF(F399&lt;C399,"Down","Flat"))</f>
        <v/>
      </c>
      <c r="K399" s="14" t="n">
        <v>31.19</v>
      </c>
      <c r="L399" s="15" t="n">
        <v>60.81</v>
      </c>
      <c r="M399" s="14" t="n">
        <v>2003.43</v>
      </c>
      <c r="N399" s="14" t="n">
        <v>1965.8</v>
      </c>
      <c r="O399" s="14" t="n">
        <v>1866.33</v>
      </c>
      <c r="P399" s="4">
        <f>IF(O399="","",IF(F399&gt;O399,"Above","Below"))</f>
        <v/>
      </c>
      <c r="Q399" s="16" t="n">
        <v>229674</v>
      </c>
      <c r="R399" s="17" t="n">
        <v>0</v>
      </c>
      <c r="S399" s="17" t="n">
        <v>0</v>
      </c>
      <c r="T399" s="17" t="n">
        <v>0</v>
      </c>
      <c r="U399" s="18" t="n">
        <v>0</v>
      </c>
    </row>
    <row r="400">
      <c r="A400" s="13" t="n">
        <v>45050</v>
      </c>
      <c r="B400" s="4">
        <f>TEXT(A400,"ddd")</f>
        <v/>
      </c>
      <c r="C400" s="14" t="n">
        <v>2054.7</v>
      </c>
      <c r="D400" s="14" t="n">
        <v>2085.4</v>
      </c>
      <c r="E400" s="14" t="n">
        <v>2038.5</v>
      </c>
      <c r="F400" s="14" t="n">
        <v>2055.7</v>
      </c>
      <c r="G400" s="9">
        <f>F400-F399</f>
        <v/>
      </c>
      <c r="H400" s="10">
        <f>IF(F399=0,0,G400/F399)</f>
        <v/>
      </c>
      <c r="I400" s="8">
        <f>D400-E400</f>
        <v/>
      </c>
      <c r="J400" s="4">
        <f>IF(F400&gt;C400,"Up",IF(F400&lt;C400,"Down","Flat"))</f>
        <v/>
      </c>
      <c r="K400" s="14" t="n">
        <v>32.42</v>
      </c>
      <c r="L400" s="15" t="n">
        <v>64.26000000000001</v>
      </c>
      <c r="M400" s="14" t="n">
        <v>2008.41</v>
      </c>
      <c r="N400" s="14" t="n">
        <v>1969.32</v>
      </c>
      <c r="O400" s="14" t="n">
        <v>1868.21</v>
      </c>
      <c r="P400" s="4">
        <f>IF(O400="","",IF(F400&gt;O400,"Above","Below"))</f>
        <v/>
      </c>
      <c r="Q400" s="16" t="n">
        <v>311003</v>
      </c>
      <c r="R400" s="17" t="n">
        <v>0</v>
      </c>
      <c r="S400" s="17" t="n">
        <v>0</v>
      </c>
      <c r="T400" s="17" t="n">
        <v>0</v>
      </c>
      <c r="U400" s="18" t="n">
        <v>0</v>
      </c>
    </row>
    <row r="401">
      <c r="A401" s="13" t="n">
        <v>45051</v>
      </c>
      <c r="B401" s="4">
        <f>TEXT(A401,"ddd")</f>
        <v/>
      </c>
      <c r="C401" s="14" t="n">
        <v>2058</v>
      </c>
      <c r="D401" s="14" t="n">
        <v>2061.3</v>
      </c>
      <c r="E401" s="14" t="n">
        <v>2007</v>
      </c>
      <c r="F401" s="14" t="n">
        <v>2024.8</v>
      </c>
      <c r="G401" s="9">
        <f>F401-F400</f>
        <v/>
      </c>
      <c r="H401" s="10">
        <f>IF(F400=0,0,G401/F400)</f>
        <v/>
      </c>
      <c r="I401" s="8">
        <f>D401-E401</f>
        <v/>
      </c>
      <c r="J401" s="4">
        <f>IF(F401&gt;C401,"Up",IF(F401&lt;C401,"Down","Flat"))</f>
        <v/>
      </c>
      <c r="K401" s="14" t="n">
        <v>33.98</v>
      </c>
      <c r="L401" s="15" t="n">
        <v>55.55</v>
      </c>
      <c r="M401" s="14" t="n">
        <v>2009.97</v>
      </c>
      <c r="N401" s="14" t="n">
        <v>1971.5</v>
      </c>
      <c r="O401" s="14" t="n">
        <v>1869.77</v>
      </c>
      <c r="P401" s="4">
        <f>IF(O401="","",IF(F401&gt;O401,"Above","Below"))</f>
        <v/>
      </c>
      <c r="Q401" s="16" t="n">
        <v>283299</v>
      </c>
      <c r="R401" s="17" t="n">
        <v>0</v>
      </c>
      <c r="S401" s="17" t="n">
        <v>0</v>
      </c>
      <c r="T401" s="17" t="n">
        <v>0</v>
      </c>
      <c r="U401" s="18" t="n">
        <v>0</v>
      </c>
    </row>
    <row r="402">
      <c r="A402" s="13" t="n">
        <v>45054</v>
      </c>
      <c r="B402" s="4">
        <f>TEXT(A402,"ddd")</f>
        <v/>
      </c>
      <c r="C402" s="14" t="n">
        <v>2024.6</v>
      </c>
      <c r="D402" s="14" t="n">
        <v>2037.1</v>
      </c>
      <c r="E402" s="14" t="n">
        <v>2022</v>
      </c>
      <c r="F402" s="14" t="n">
        <v>2033.2</v>
      </c>
      <c r="G402" s="9">
        <f>F402-F401</f>
        <v/>
      </c>
      <c r="H402" s="10">
        <f>IF(F401=0,0,G402/F401)</f>
        <v/>
      </c>
      <c r="I402" s="8">
        <f>D402-E402</f>
        <v/>
      </c>
      <c r="J402" s="4">
        <f>IF(F402&gt;C402,"Up",IF(F402&lt;C402,"Down","Flat"))</f>
        <v/>
      </c>
      <c r="K402" s="14" t="n">
        <v>32.63</v>
      </c>
      <c r="L402" s="15" t="n">
        <v>57.25</v>
      </c>
      <c r="M402" s="14" t="n">
        <v>2012.18</v>
      </c>
      <c r="N402" s="14" t="n">
        <v>1973.92</v>
      </c>
      <c r="O402" s="14" t="n">
        <v>1871.39</v>
      </c>
      <c r="P402" s="4">
        <f>IF(O402="","",IF(F402&gt;O402,"Above","Below"))</f>
        <v/>
      </c>
      <c r="Q402" s="16" t="n">
        <v>182213</v>
      </c>
      <c r="R402" s="17" t="n">
        <v>0</v>
      </c>
      <c r="S402" s="17" t="n">
        <v>0</v>
      </c>
      <c r="T402" s="17" t="n">
        <v>0</v>
      </c>
      <c r="U402" s="18" t="n">
        <v>0</v>
      </c>
    </row>
    <row r="403">
      <c r="A403" s="13" t="n">
        <v>45055</v>
      </c>
      <c r="B403" s="4">
        <f>TEXT(A403,"ddd")</f>
        <v/>
      </c>
      <c r="C403" s="14" t="n">
        <v>2028.4</v>
      </c>
      <c r="D403" s="14" t="n">
        <v>2045.1</v>
      </c>
      <c r="E403" s="14" t="n">
        <v>2026.4</v>
      </c>
      <c r="F403" s="14" t="n">
        <v>2042.9</v>
      </c>
      <c r="G403" s="9">
        <f>F403-F402</f>
        <v/>
      </c>
      <c r="H403" s="10">
        <f>IF(F402=0,0,G403/F402)</f>
        <v/>
      </c>
      <c r="I403" s="8">
        <f>D403-E403</f>
        <v/>
      </c>
      <c r="J403" s="4">
        <f>IF(F403&gt;C403,"Up",IF(F403&lt;C403,"Down","Flat"))</f>
        <v/>
      </c>
      <c r="K403" s="14" t="n">
        <v>31.64</v>
      </c>
      <c r="L403" s="15" t="n">
        <v>59.19</v>
      </c>
      <c r="M403" s="14" t="n">
        <v>2015.11</v>
      </c>
      <c r="N403" s="14" t="n">
        <v>1976.62</v>
      </c>
      <c r="O403" s="14" t="n">
        <v>1873.1</v>
      </c>
      <c r="P403" s="4">
        <f>IF(O403="","",IF(F403&gt;O403,"Above","Below"))</f>
        <v/>
      </c>
      <c r="Q403" s="16" t="n">
        <v>199701</v>
      </c>
      <c r="R403" s="17" t="n">
        <v>0</v>
      </c>
      <c r="S403" s="17" t="n">
        <v>0</v>
      </c>
      <c r="T403" s="17" t="n">
        <v>0</v>
      </c>
      <c r="U403" s="18" t="n">
        <v>0</v>
      </c>
    </row>
    <row r="404">
      <c r="A404" s="13" t="n">
        <v>45056</v>
      </c>
      <c r="B404" s="4">
        <f>TEXT(A404,"ddd")</f>
        <v/>
      </c>
      <c r="C404" s="14" t="n">
        <v>2041.6</v>
      </c>
      <c r="D404" s="14" t="n">
        <v>2056</v>
      </c>
      <c r="E404" s="14" t="n">
        <v>2028.3</v>
      </c>
      <c r="F404" s="14" t="n">
        <v>2037.1</v>
      </c>
      <c r="G404" s="9">
        <f>F404-F403</f>
        <v/>
      </c>
      <c r="H404" s="10">
        <f>IF(F403=0,0,G404/F403)</f>
        <v/>
      </c>
      <c r="I404" s="8">
        <f>D404-E404</f>
        <v/>
      </c>
      <c r="J404" s="4">
        <f>IF(F404&gt;C404,"Up",IF(F404&lt;C404,"Down","Flat"))</f>
        <v/>
      </c>
      <c r="K404" s="14" t="n">
        <v>31.36</v>
      </c>
      <c r="L404" s="15" t="n">
        <v>57.51</v>
      </c>
      <c r="M404" s="14" t="n">
        <v>2017.2</v>
      </c>
      <c r="N404" s="14" t="n">
        <v>1978.99</v>
      </c>
      <c r="O404" s="14" t="n">
        <v>1874.73</v>
      </c>
      <c r="P404" s="4">
        <f>IF(O404="","",IF(F404&gt;O404,"Above","Below"))</f>
        <v/>
      </c>
      <c r="Q404" s="16" t="n">
        <v>260807</v>
      </c>
      <c r="R404" s="17" t="n">
        <v>0</v>
      </c>
      <c r="S404" s="17" t="n">
        <v>0</v>
      </c>
      <c r="T404" s="17" t="n">
        <v>0</v>
      </c>
      <c r="U404" s="18" t="n">
        <v>0</v>
      </c>
    </row>
    <row r="405">
      <c r="A405" s="13" t="n">
        <v>45057</v>
      </c>
      <c r="B405" s="4">
        <f>TEXT(A405,"ddd")</f>
        <v/>
      </c>
      <c r="C405" s="14" t="n">
        <v>2036.8</v>
      </c>
      <c r="D405" s="14" t="n">
        <v>2047.6</v>
      </c>
      <c r="E405" s="14" t="n">
        <v>2016.7</v>
      </c>
      <c r="F405" s="14" t="n">
        <v>2020.5</v>
      </c>
      <c r="G405" s="9">
        <f>F405-F404</f>
        <v/>
      </c>
      <c r="H405" s="10">
        <f>IF(F404=0,0,G405/F404)</f>
        <v/>
      </c>
      <c r="I405" s="8">
        <f>D405-E405</f>
        <v/>
      </c>
      <c r="J405" s="4">
        <f>IF(F405&gt;C405,"Up",IF(F405&lt;C405,"Down","Flat"))</f>
        <v/>
      </c>
      <c r="K405" s="14" t="n">
        <v>31.32</v>
      </c>
      <c r="L405" s="15" t="n">
        <v>52.89</v>
      </c>
      <c r="M405" s="14" t="n">
        <v>2017.51</v>
      </c>
      <c r="N405" s="14" t="n">
        <v>1980.62</v>
      </c>
      <c r="O405" s="14" t="n">
        <v>1876.18</v>
      </c>
      <c r="P405" s="4">
        <f>IF(O405="","",IF(F405&gt;O405,"Above","Below"))</f>
        <v/>
      </c>
      <c r="Q405" s="16" t="n">
        <v>296976</v>
      </c>
      <c r="R405" s="17" t="n">
        <v>0</v>
      </c>
      <c r="S405" s="17" t="n">
        <v>0</v>
      </c>
      <c r="T405" s="17" t="n">
        <v>0</v>
      </c>
      <c r="U405" s="18" t="n">
        <v>0</v>
      </c>
    </row>
    <row r="406">
      <c r="A406" s="13" t="n">
        <v>45058</v>
      </c>
      <c r="B406" s="4">
        <f>TEXT(A406,"ddd")</f>
        <v/>
      </c>
      <c r="C406" s="14" t="n">
        <v>2020.5</v>
      </c>
      <c r="D406" s="14" t="n">
        <v>2027.8</v>
      </c>
      <c r="E406" s="14" t="n">
        <v>2005.7</v>
      </c>
      <c r="F406" s="14" t="n">
        <v>2019.8</v>
      </c>
      <c r="G406" s="9">
        <f>F406-F405</f>
        <v/>
      </c>
      <c r="H406" s="10">
        <f>IF(F405=0,0,G406/F405)</f>
        <v/>
      </c>
      <c r="I406" s="8">
        <f>D406-E406</f>
        <v/>
      </c>
      <c r="J406" s="4">
        <f>IF(F406&gt;C406,"Up",IF(F406&lt;C406,"Down","Flat"))</f>
        <v/>
      </c>
      <c r="K406" s="14" t="n">
        <v>30.66</v>
      </c>
      <c r="L406" s="15" t="n">
        <v>52.69</v>
      </c>
      <c r="M406" s="14" t="n">
        <v>2017.73</v>
      </c>
      <c r="N406" s="14" t="n">
        <v>1982.16</v>
      </c>
      <c r="O406" s="14" t="n">
        <v>1877.61</v>
      </c>
      <c r="P406" s="4">
        <f>IF(O406="","",IF(F406&gt;O406,"Above","Below"))</f>
        <v/>
      </c>
      <c r="Q406" s="16" t="n">
        <v>220500</v>
      </c>
      <c r="R406" s="17" t="n">
        <v>0</v>
      </c>
      <c r="S406" s="17" t="n">
        <v>0</v>
      </c>
      <c r="T406" s="17" t="n">
        <v>0</v>
      </c>
      <c r="U406" s="18" t="n">
        <v>0</v>
      </c>
    </row>
    <row r="407">
      <c r="A407" s="13" t="n">
        <v>45061</v>
      </c>
      <c r="B407" s="4">
        <f>TEXT(A407,"ddd")</f>
        <v/>
      </c>
      <c r="C407" s="14" t="n">
        <v>2013.4</v>
      </c>
      <c r="D407" s="14" t="n">
        <v>2027.5</v>
      </c>
      <c r="E407" s="14" t="n">
        <v>2011.2</v>
      </c>
      <c r="F407" s="14" t="n">
        <v>2022.7</v>
      </c>
      <c r="G407" s="9">
        <f>F407-F406</f>
        <v/>
      </c>
      <c r="H407" s="10">
        <f>IF(F406=0,0,G407/F406)</f>
        <v/>
      </c>
      <c r="I407" s="8">
        <f>D407-E407</f>
        <v/>
      </c>
      <c r="J407" s="4">
        <f>IF(F407&gt;C407,"Up",IF(F407&lt;C407,"Down","Flat"))</f>
        <v/>
      </c>
      <c r="K407" s="14" t="n">
        <v>29.64</v>
      </c>
      <c r="L407" s="15" t="n">
        <v>53.45</v>
      </c>
      <c r="M407" s="14" t="n">
        <v>2018.21</v>
      </c>
      <c r="N407" s="14" t="n">
        <v>1983.75</v>
      </c>
      <c r="O407" s="14" t="n">
        <v>1879.06</v>
      </c>
      <c r="P407" s="4">
        <f>IF(O407="","",IF(F407&gt;O407,"Above","Below"))</f>
        <v/>
      </c>
      <c r="Q407" s="16" t="n">
        <v>163251</v>
      </c>
      <c r="R407" s="17" t="n">
        <v>0</v>
      </c>
      <c r="S407" s="17" t="n">
        <v>0</v>
      </c>
      <c r="T407" s="17" t="n">
        <v>0</v>
      </c>
      <c r="U407" s="18" t="n">
        <v>0</v>
      </c>
    </row>
    <row r="408">
      <c r="A408" s="13" t="n">
        <v>45062</v>
      </c>
      <c r="B408" s="4">
        <f>TEXT(A408,"ddd")</f>
        <v/>
      </c>
      <c r="C408" s="14" t="n">
        <v>2021.3</v>
      </c>
      <c r="D408" s="14" t="n">
        <v>2022.7</v>
      </c>
      <c r="E408" s="14" t="n">
        <v>1989.1</v>
      </c>
      <c r="F408" s="14" t="n">
        <v>1993</v>
      </c>
      <c r="G408" s="9">
        <f>F408-F407</f>
        <v/>
      </c>
      <c r="H408" s="10">
        <f>IF(F407=0,0,G408/F407)</f>
        <v/>
      </c>
      <c r="I408" s="8">
        <f>D408-E408</f>
        <v/>
      </c>
      <c r="J408" s="4">
        <f>IF(F408&gt;C408,"Up",IF(F408&lt;C408,"Down","Flat"))</f>
        <v/>
      </c>
      <c r="K408" s="14" t="n">
        <v>29.92</v>
      </c>
      <c r="L408" s="15" t="n">
        <v>45.45</v>
      </c>
      <c r="M408" s="14" t="n">
        <v>2015.8</v>
      </c>
      <c r="N408" s="14" t="n">
        <v>1984.11</v>
      </c>
      <c r="O408" s="14" t="n">
        <v>1880.19</v>
      </c>
      <c r="P408" s="4">
        <f>IF(O408="","",IF(F408&gt;O408,"Above","Below"))</f>
        <v/>
      </c>
      <c r="Q408" s="16" t="n">
        <v>229938</v>
      </c>
      <c r="R408" s="17" t="n">
        <v>0</v>
      </c>
      <c r="S408" s="17" t="n">
        <v>0</v>
      </c>
      <c r="T408" s="17" t="n">
        <v>0</v>
      </c>
      <c r="U408" s="18" t="n">
        <v>0</v>
      </c>
    </row>
    <row r="409">
      <c r="A409" s="13" t="n">
        <v>45063</v>
      </c>
      <c r="B409" s="4">
        <f>TEXT(A409,"ddd")</f>
        <v/>
      </c>
      <c r="C409" s="14" t="n">
        <v>1993</v>
      </c>
      <c r="D409" s="14" t="n">
        <v>1997</v>
      </c>
      <c r="E409" s="14" t="n">
        <v>1978.1</v>
      </c>
      <c r="F409" s="14" t="n">
        <v>1984.9</v>
      </c>
      <c r="G409" s="9">
        <f>F409-F408</f>
        <v/>
      </c>
      <c r="H409" s="10">
        <f>IF(F408=0,0,G409/F408)</f>
        <v/>
      </c>
      <c r="I409" s="8">
        <f>D409-E409</f>
        <v/>
      </c>
      <c r="J409" s="4">
        <f>IF(F409&gt;C409,"Up",IF(F409&lt;C409,"Down","Flat"))</f>
        <v/>
      </c>
      <c r="K409" s="14" t="n">
        <v>29.13</v>
      </c>
      <c r="L409" s="15" t="n">
        <v>43.53</v>
      </c>
      <c r="M409" s="14" t="n">
        <v>2012.86</v>
      </c>
      <c r="N409" s="14" t="n">
        <v>1984.14</v>
      </c>
      <c r="O409" s="14" t="n">
        <v>1881.23</v>
      </c>
      <c r="P409" s="4">
        <f>IF(O409="","",IF(F409&gt;O409,"Above","Below"))</f>
        <v/>
      </c>
      <c r="Q409" s="16" t="n">
        <v>206552</v>
      </c>
      <c r="R409" s="17" t="n">
        <v>0</v>
      </c>
      <c r="S409" s="17" t="n">
        <v>0</v>
      </c>
      <c r="T409" s="17" t="n">
        <v>0</v>
      </c>
      <c r="U409" s="18" t="n">
        <v>0</v>
      </c>
    </row>
    <row r="410">
      <c r="A410" s="13" t="n">
        <v>45064</v>
      </c>
      <c r="B410" s="4">
        <f>TEXT(A410,"ddd")</f>
        <v/>
      </c>
      <c r="C410" s="14" t="n">
        <v>1985.6</v>
      </c>
      <c r="D410" s="14" t="n">
        <v>1988.8</v>
      </c>
      <c r="E410" s="14" t="n">
        <v>1954.4</v>
      </c>
      <c r="F410" s="14" t="n">
        <v>1959.8</v>
      </c>
      <c r="G410" s="9">
        <f>F410-F409</f>
        <v/>
      </c>
      <c r="H410" s="10">
        <f>IF(F409=0,0,G410/F409)</f>
        <v/>
      </c>
      <c r="I410" s="8">
        <f>D410-E410</f>
        <v/>
      </c>
      <c r="J410" s="4">
        <f>IF(F410&gt;C410,"Up",IF(F410&lt;C410,"Down","Flat"))</f>
        <v/>
      </c>
      <c r="K410" s="14" t="n">
        <v>29.51</v>
      </c>
      <c r="L410" s="15" t="n">
        <v>38.17</v>
      </c>
      <c r="M410" s="14" t="n">
        <v>2007.81</v>
      </c>
      <c r="N410" s="14" t="n">
        <v>1983.19</v>
      </c>
      <c r="O410" s="14" t="n">
        <v>1882.01</v>
      </c>
      <c r="P410" s="4">
        <f>IF(O410="","",IF(F410&gt;O410,"Above","Below"))</f>
        <v/>
      </c>
      <c r="Q410" s="16" t="n">
        <v>227733</v>
      </c>
      <c r="R410" s="17" t="n">
        <v>0</v>
      </c>
      <c r="S410" s="17" t="n">
        <v>0</v>
      </c>
      <c r="T410" s="17" t="n">
        <v>0</v>
      </c>
      <c r="U410" s="18" t="n">
        <v>0</v>
      </c>
    </row>
    <row r="411">
      <c r="A411" s="13" t="n">
        <v>45065</v>
      </c>
      <c r="B411" s="4">
        <f>TEXT(A411,"ddd")</f>
        <v/>
      </c>
      <c r="C411" s="14" t="n">
        <v>1960.5</v>
      </c>
      <c r="D411" s="14" t="n">
        <v>1987.4</v>
      </c>
      <c r="E411" s="14" t="n">
        <v>1956.3</v>
      </c>
      <c r="F411" s="14" t="n">
        <v>1981.6</v>
      </c>
      <c r="G411" s="9">
        <f>F411-F410</f>
        <v/>
      </c>
      <c r="H411" s="10">
        <f>IF(F410=0,0,G411/F410)</f>
        <v/>
      </c>
      <c r="I411" s="8">
        <f>D411-E411</f>
        <v/>
      </c>
      <c r="J411" s="4">
        <f>IF(F411&gt;C411,"Up",IF(F411&lt;C411,"Down","Flat"))</f>
        <v/>
      </c>
      <c r="K411" s="14" t="n">
        <v>29.62</v>
      </c>
      <c r="L411" s="15" t="n">
        <v>44.56</v>
      </c>
      <c r="M411" s="14" t="n">
        <v>2005.31</v>
      </c>
      <c r="N411" s="14" t="n">
        <v>1983.13</v>
      </c>
      <c r="O411" s="14" t="n">
        <v>1883</v>
      </c>
      <c r="P411" s="4">
        <f>IF(O411="","",IF(F411&gt;O411,"Above","Below"))</f>
        <v/>
      </c>
      <c r="Q411" s="16" t="n">
        <v>234604</v>
      </c>
      <c r="R411" s="17" t="n">
        <v>0</v>
      </c>
      <c r="S411" s="17" t="n">
        <v>0</v>
      </c>
      <c r="T411" s="17" t="n">
        <v>0</v>
      </c>
      <c r="U411" s="18" t="n">
        <v>0</v>
      </c>
    </row>
    <row r="412">
      <c r="A412" s="13" t="n">
        <v>45068</v>
      </c>
      <c r="B412" s="4">
        <f>TEXT(A412,"ddd")</f>
        <v/>
      </c>
      <c r="C412" s="14" t="n">
        <v>1979.4</v>
      </c>
      <c r="D412" s="14" t="n">
        <v>1984.8</v>
      </c>
      <c r="E412" s="14" t="n">
        <v>1970.7</v>
      </c>
      <c r="F412" s="14" t="n">
        <v>1977.2</v>
      </c>
      <c r="G412" s="9">
        <f>F412-F411</f>
        <v/>
      </c>
      <c r="H412" s="10">
        <f>IF(F411=0,0,G412/F411)</f>
        <v/>
      </c>
      <c r="I412" s="8">
        <f>D412-E412</f>
        <v/>
      </c>
      <c r="J412" s="4">
        <f>IF(F412&gt;C412,"Up",IF(F412&lt;C412,"Down","Flat"))</f>
        <v/>
      </c>
      <c r="K412" s="14" t="n">
        <v>28.52</v>
      </c>
      <c r="L412" s="15" t="n">
        <v>43.58</v>
      </c>
      <c r="M412" s="14" t="n">
        <v>2002.63</v>
      </c>
      <c r="N412" s="14" t="n">
        <v>1982.89</v>
      </c>
      <c r="O412" s="14" t="n">
        <v>1883.94</v>
      </c>
      <c r="P412" s="4">
        <f>IF(O412="","",IF(F412&gt;O412,"Above","Below"))</f>
        <v/>
      </c>
      <c r="Q412" s="16" t="n">
        <v>165768</v>
      </c>
      <c r="R412" s="17" t="n">
        <v>0</v>
      </c>
      <c r="S412" s="17" t="n">
        <v>0</v>
      </c>
      <c r="T412" s="17" t="n">
        <v>0</v>
      </c>
      <c r="U412" s="18" t="n">
        <v>0</v>
      </c>
    </row>
    <row r="413">
      <c r="A413" s="13" t="n">
        <v>45069</v>
      </c>
      <c r="B413" s="4">
        <f>TEXT(A413,"ddd")</f>
        <v/>
      </c>
      <c r="C413" s="14" t="n">
        <v>1973.9</v>
      </c>
      <c r="D413" s="14" t="n">
        <v>1980</v>
      </c>
      <c r="E413" s="14" t="n">
        <v>1955.8</v>
      </c>
      <c r="F413" s="14" t="n">
        <v>1974.5</v>
      </c>
      <c r="G413" s="9">
        <f>F413-F412</f>
        <v/>
      </c>
      <c r="H413" s="10">
        <f>IF(F412=0,0,G413/F412)</f>
        <v/>
      </c>
      <c r="I413" s="8">
        <f>D413-E413</f>
        <v/>
      </c>
      <c r="J413" s="4">
        <f>IF(F413&gt;C413,"Up",IF(F413&lt;C413,"Down","Flat"))</f>
        <v/>
      </c>
      <c r="K413" s="14" t="n">
        <v>28.21</v>
      </c>
      <c r="L413" s="15" t="n">
        <v>42.96</v>
      </c>
      <c r="M413" s="14" t="n">
        <v>1999.96</v>
      </c>
      <c r="N413" s="14" t="n">
        <v>1982.56</v>
      </c>
      <c r="O413" s="14" t="n">
        <v>1884.84</v>
      </c>
      <c r="P413" s="4">
        <f>IF(O413="","",IF(F413&gt;O413,"Above","Below"))</f>
        <v/>
      </c>
      <c r="Q413" s="16" t="n">
        <v>214358</v>
      </c>
      <c r="R413" s="17" t="n">
        <v>0</v>
      </c>
      <c r="S413" s="17" t="n">
        <v>0</v>
      </c>
      <c r="T413" s="17" t="n">
        <v>0</v>
      </c>
      <c r="U413" s="18" t="n">
        <v>0</v>
      </c>
    </row>
    <row r="414">
      <c r="A414" s="13" t="n">
        <v>45070</v>
      </c>
      <c r="B414" s="4">
        <f>TEXT(A414,"ddd")</f>
        <v/>
      </c>
      <c r="C414" s="14" t="n">
        <v>1977.3</v>
      </c>
      <c r="D414" s="14" t="n">
        <v>1987.9</v>
      </c>
      <c r="E414" s="14" t="n">
        <v>1958.4</v>
      </c>
      <c r="F414" s="14" t="n">
        <v>1964.6</v>
      </c>
      <c r="G414" s="9">
        <f>F414-F413</f>
        <v/>
      </c>
      <c r="H414" s="10">
        <f>IF(F413=0,0,G414/F413)</f>
        <v/>
      </c>
      <c r="I414" s="8">
        <f>D414-E414</f>
        <v/>
      </c>
      <c r="J414" s="4">
        <f>IF(F414&gt;C414,"Up",IF(F414&lt;C414,"Down","Flat"))</f>
        <v/>
      </c>
      <c r="K414" s="14" t="n">
        <v>28.3</v>
      </c>
      <c r="L414" s="15" t="n">
        <v>40.66</v>
      </c>
      <c r="M414" s="14" t="n">
        <v>1996.59</v>
      </c>
      <c r="N414" s="14" t="n">
        <v>1981.86</v>
      </c>
      <c r="O414" s="14" t="n">
        <v>1885.64</v>
      </c>
      <c r="P414" s="4">
        <f>IF(O414="","",IF(F414&gt;O414,"Above","Below"))</f>
        <v/>
      </c>
      <c r="Q414" s="16" t="n">
        <v>229885</v>
      </c>
      <c r="R414" s="17" t="n">
        <v>0</v>
      </c>
      <c r="S414" s="17" t="n">
        <v>0</v>
      </c>
      <c r="T414" s="17" t="n">
        <v>0</v>
      </c>
      <c r="U414" s="18" t="n">
        <v>0</v>
      </c>
    </row>
    <row r="415">
      <c r="A415" s="13" t="n">
        <v>45071</v>
      </c>
      <c r="B415" s="4">
        <f>TEXT(A415,"ddd")</f>
        <v/>
      </c>
      <c r="C415" s="14" t="n">
        <v>1959.5</v>
      </c>
      <c r="D415" s="14" t="n">
        <v>1965.4</v>
      </c>
      <c r="E415" s="14" t="n">
        <v>1939</v>
      </c>
      <c r="F415" s="14" t="n">
        <v>1943.7</v>
      </c>
      <c r="G415" s="9">
        <f>F415-F414</f>
        <v/>
      </c>
      <c r="H415" s="10">
        <f>IF(F414=0,0,G415/F414)</f>
        <v/>
      </c>
      <c r="I415" s="8">
        <f>D415-E415</f>
        <v/>
      </c>
      <c r="J415" s="4">
        <f>IF(F415&gt;C415,"Up",IF(F415&lt;C415,"Down","Flat"))</f>
        <v/>
      </c>
      <c r="K415" s="14" t="n">
        <v>28.16</v>
      </c>
      <c r="L415" s="15" t="n">
        <v>36.25</v>
      </c>
      <c r="M415" s="14" t="n">
        <v>1991.55</v>
      </c>
      <c r="N415" s="14" t="n">
        <v>1980.36</v>
      </c>
      <c r="O415" s="14" t="n">
        <v>1886.21</v>
      </c>
      <c r="P415" s="4">
        <f>IF(O415="","",IF(F415&gt;O415,"Above","Below"))</f>
        <v/>
      </c>
      <c r="Q415" s="16" t="n">
        <v>253875</v>
      </c>
      <c r="R415" s="17" t="n">
        <v>0</v>
      </c>
      <c r="S415" s="17" t="n">
        <v>0</v>
      </c>
      <c r="T415" s="17" t="n">
        <v>0</v>
      </c>
      <c r="U415" s="18" t="n">
        <v>0</v>
      </c>
    </row>
    <row r="416">
      <c r="A416" s="13" t="n">
        <v>45072</v>
      </c>
      <c r="B416" s="4">
        <f>TEXT(A416,"ddd")</f>
        <v/>
      </c>
      <c r="C416" s="14" t="n">
        <v>1941.7</v>
      </c>
      <c r="D416" s="14" t="n">
        <v>1957.1</v>
      </c>
      <c r="E416" s="14" t="n">
        <v>1936</v>
      </c>
      <c r="F416" s="14" t="n">
        <v>1944.3</v>
      </c>
      <c r="G416" s="9">
        <f>F416-F415</f>
        <v/>
      </c>
      <c r="H416" s="10">
        <f>IF(F415=0,0,G416/F415)</f>
        <v/>
      </c>
      <c r="I416" s="8">
        <f>D416-E416</f>
        <v/>
      </c>
      <c r="J416" s="4">
        <f>IF(F416&gt;C416,"Up",IF(F416&lt;C416,"Down","Flat"))</f>
        <v/>
      </c>
      <c r="K416" s="14" t="n">
        <v>27.66</v>
      </c>
      <c r="L416" s="15" t="n">
        <v>36.46</v>
      </c>
      <c r="M416" s="14" t="n">
        <v>1987.05</v>
      </c>
      <c r="N416" s="14" t="n">
        <v>1978.95</v>
      </c>
      <c r="O416" s="14" t="n">
        <v>1886.79</v>
      </c>
      <c r="P416" s="4">
        <f>IF(O416="","",IF(F416&gt;O416,"Above","Below"))</f>
        <v/>
      </c>
      <c r="Q416" s="16" t="n">
        <v>166036</v>
      </c>
      <c r="R416" s="17" t="n">
        <v>0</v>
      </c>
      <c r="S416" s="17" t="n">
        <v>0</v>
      </c>
      <c r="T416" s="17" t="n">
        <v>0</v>
      </c>
      <c r="U416" s="18" t="n">
        <v>0</v>
      </c>
    </row>
    <row r="417">
      <c r="A417" s="13" t="n">
        <v>45076</v>
      </c>
      <c r="B417" s="4">
        <f>TEXT(A417,"ddd")</f>
        <v/>
      </c>
      <c r="C417" s="14" t="n">
        <v>1942.7</v>
      </c>
      <c r="D417" s="14" t="n">
        <v>1962.6</v>
      </c>
      <c r="E417" s="14" t="n">
        <v>1931</v>
      </c>
      <c r="F417" s="14" t="n">
        <v>1958</v>
      </c>
      <c r="G417" s="9">
        <f>F417-F416</f>
        <v/>
      </c>
      <c r="H417" s="10">
        <f>IF(F416=0,0,G417/F416)</f>
        <v/>
      </c>
      <c r="I417" s="8">
        <f>D417-E417</f>
        <v/>
      </c>
      <c r="J417" s="4">
        <f>IF(F417&gt;C417,"Up",IF(F417&lt;C417,"Down","Flat"))</f>
        <v/>
      </c>
      <c r="K417" s="14" t="n">
        <v>27.94</v>
      </c>
      <c r="L417" s="15" t="n">
        <v>41.29</v>
      </c>
      <c r="M417" s="14" t="n">
        <v>1984.28</v>
      </c>
      <c r="N417" s="14" t="n">
        <v>1978.13</v>
      </c>
      <c r="O417" s="14" t="n">
        <v>1887.5</v>
      </c>
      <c r="P417" s="4">
        <f>IF(O417="","",IF(F417&gt;O417,"Above","Below"))</f>
        <v/>
      </c>
      <c r="Q417" s="16" t="n">
        <v>37838</v>
      </c>
      <c r="R417" s="17" t="n">
        <v>0</v>
      </c>
      <c r="S417" s="17" t="n">
        <v>0</v>
      </c>
      <c r="T417" s="17" t="n">
        <v>0</v>
      </c>
      <c r="U417" s="18" t="n">
        <v>0</v>
      </c>
    </row>
    <row r="418">
      <c r="A418" s="13" t="n">
        <v>45077</v>
      </c>
      <c r="B418" s="4">
        <f>TEXT(A418,"ddd")</f>
        <v/>
      </c>
      <c r="C418" s="14" t="n">
        <v>1958.2</v>
      </c>
      <c r="D418" s="14" t="n">
        <v>1973</v>
      </c>
      <c r="E418" s="14" t="n">
        <v>1953</v>
      </c>
      <c r="F418" s="14" t="n">
        <v>1963.9</v>
      </c>
      <c r="G418" s="9">
        <f>F418-F417</f>
        <v/>
      </c>
      <c r="H418" s="10">
        <f>IF(F417=0,0,G418/F417)</f>
        <v/>
      </c>
      <c r="I418" s="8">
        <f>D418-E418</f>
        <v/>
      </c>
      <c r="J418" s="4">
        <f>IF(F418&gt;C418,"Up",IF(F418&lt;C418,"Down","Flat"))</f>
        <v/>
      </c>
      <c r="K418" s="14" t="n">
        <v>27.37</v>
      </c>
      <c r="L418" s="15" t="n">
        <v>43.28</v>
      </c>
      <c r="M418" s="14" t="n">
        <v>1982.34</v>
      </c>
      <c r="N418" s="14" t="n">
        <v>1977.57</v>
      </c>
      <c r="O418" s="14" t="n">
        <v>1888.26</v>
      </c>
      <c r="P418" s="4">
        <f>IF(O418="","",IF(F418&gt;O418,"Above","Below"))</f>
        <v/>
      </c>
      <c r="Q418" s="16" t="n">
        <v>207753</v>
      </c>
      <c r="R418" s="17" t="n">
        <v>0</v>
      </c>
      <c r="S418" s="17" t="n">
        <v>0</v>
      </c>
      <c r="T418" s="17" t="n">
        <v>0</v>
      </c>
      <c r="U418" s="18" t="n">
        <v>0</v>
      </c>
    </row>
    <row r="419">
      <c r="A419" s="13" t="n">
        <v>45078</v>
      </c>
      <c r="B419" s="4">
        <f>TEXT(A419,"ddd")</f>
        <v/>
      </c>
      <c r="C419" s="14" t="n">
        <v>1981.3</v>
      </c>
      <c r="D419" s="14" t="n">
        <v>2000.7</v>
      </c>
      <c r="E419" s="14" t="n">
        <v>1970.1</v>
      </c>
      <c r="F419" s="14" t="n">
        <v>1995.5</v>
      </c>
      <c r="G419" s="9">
        <f>F419-F418</f>
        <v/>
      </c>
      <c r="H419" s="10">
        <f>IF(F418=0,0,G419/F418)</f>
        <v/>
      </c>
      <c r="I419" s="8">
        <f>D419-E419</f>
        <v/>
      </c>
      <c r="J419" s="4">
        <f>IF(F419&gt;C419,"Up",IF(F419&lt;C419,"Down","Flat"))</f>
        <v/>
      </c>
      <c r="K419" s="14" t="n">
        <v>28.05</v>
      </c>
      <c r="L419" s="15" t="n">
        <v>52.58</v>
      </c>
      <c r="M419" s="14" t="n">
        <v>1983.6</v>
      </c>
      <c r="N419" s="14" t="n">
        <v>1978.27</v>
      </c>
      <c r="O419" s="14" t="n">
        <v>1889.33</v>
      </c>
      <c r="P419" s="4">
        <f>IF(O419="","",IF(F419&gt;O419,"Above","Below"))</f>
        <v/>
      </c>
      <c r="Q419" s="16" t="n">
        <v>176911</v>
      </c>
      <c r="R419" s="17" t="n">
        <v>0</v>
      </c>
      <c r="S419" s="17" t="n">
        <v>0</v>
      </c>
      <c r="T419" s="17" t="n">
        <v>0</v>
      </c>
      <c r="U419" s="18" t="n">
        <v>0</v>
      </c>
    </row>
    <row r="420">
      <c r="A420" s="13" t="n">
        <v>45079</v>
      </c>
      <c r="B420" s="4">
        <f>TEXT(A420,"ddd")</f>
        <v/>
      </c>
      <c r="C420" s="14" t="n">
        <v>1994.6</v>
      </c>
      <c r="D420" s="14" t="n">
        <v>2000.5</v>
      </c>
      <c r="E420" s="14" t="n">
        <v>1963.7</v>
      </c>
      <c r="F420" s="14" t="n">
        <v>1969.6</v>
      </c>
      <c r="G420" s="9">
        <f>F420-F419</f>
        <v/>
      </c>
      <c r="H420" s="10">
        <f>IF(F419=0,0,G420/F419)</f>
        <v/>
      </c>
      <c r="I420" s="8">
        <f>D420-E420</f>
        <v/>
      </c>
      <c r="J420" s="4">
        <f>IF(F420&gt;C420,"Up",IF(F420&lt;C420,"Down","Flat"))</f>
        <v/>
      </c>
      <c r="K420" s="14" t="n">
        <v>28.67</v>
      </c>
      <c r="L420" s="15" t="n">
        <v>45.93</v>
      </c>
      <c r="M420" s="14" t="n">
        <v>1982.26</v>
      </c>
      <c r="N420" s="14" t="n">
        <v>1977.93</v>
      </c>
      <c r="O420" s="14" t="n">
        <v>1890.13</v>
      </c>
      <c r="P420" s="4">
        <f>IF(O420="","",IF(F420&gt;O420,"Above","Below"))</f>
        <v/>
      </c>
      <c r="Q420" s="16" t="n">
        <v>209694</v>
      </c>
      <c r="R420" s="17" t="n">
        <v>0</v>
      </c>
      <c r="S420" s="17" t="n">
        <v>0</v>
      </c>
      <c r="T420" s="17" t="n">
        <v>0</v>
      </c>
      <c r="U420" s="18" t="n">
        <v>0</v>
      </c>
    </row>
    <row r="421">
      <c r="A421" s="13" t="n">
        <v>45082</v>
      </c>
      <c r="B421" s="4">
        <f>TEXT(A421,"ddd")</f>
        <v/>
      </c>
      <c r="C421" s="14" t="n">
        <v>1962.3</v>
      </c>
      <c r="D421" s="14" t="n">
        <v>1980.4</v>
      </c>
      <c r="E421" s="14" t="n">
        <v>1953.8</v>
      </c>
      <c r="F421" s="14" t="n">
        <v>1974.3</v>
      </c>
      <c r="G421" s="9">
        <f>F421-F420</f>
        <v/>
      </c>
      <c r="H421" s="10">
        <f>IF(F420=0,0,G421/F420)</f>
        <v/>
      </c>
      <c r="I421" s="8">
        <f>D421-E421</f>
        <v/>
      </c>
      <c r="J421" s="4">
        <f>IF(F421&gt;C421,"Up",IF(F421&lt;C421,"Down","Flat"))</f>
        <v/>
      </c>
      <c r="K421" s="14" t="n">
        <v>28.52</v>
      </c>
      <c r="L421" s="15" t="n">
        <v>47.24</v>
      </c>
      <c r="M421" s="14" t="n">
        <v>1981.5</v>
      </c>
      <c r="N421" s="14" t="n">
        <v>1977.79</v>
      </c>
      <c r="O421" s="14" t="n">
        <v>1890.96</v>
      </c>
      <c r="P421" s="4">
        <f>IF(O421="","",IF(F421&gt;O421,"Above","Below"))</f>
        <v/>
      </c>
      <c r="Q421" s="16" t="n">
        <v>179985</v>
      </c>
      <c r="R421" s="17" t="n">
        <v>0</v>
      </c>
      <c r="S421" s="17" t="n">
        <v>0</v>
      </c>
      <c r="T421" s="17" t="n">
        <v>0</v>
      </c>
      <c r="U421" s="18" t="n">
        <v>0</v>
      </c>
    </row>
    <row r="422">
      <c r="A422" s="13" t="n">
        <v>45083</v>
      </c>
      <c r="B422" s="4">
        <f>TEXT(A422,"ddd")</f>
        <v/>
      </c>
      <c r="C422" s="14" t="n">
        <v>1978</v>
      </c>
      <c r="D422" s="14" t="n">
        <v>1982.9</v>
      </c>
      <c r="E422" s="14" t="n">
        <v>1970.3</v>
      </c>
      <c r="F422" s="14" t="n">
        <v>1981.5</v>
      </c>
      <c r="G422" s="9">
        <f>F422-F421</f>
        <v/>
      </c>
      <c r="H422" s="10">
        <f>IF(F421=0,0,G422/F421)</f>
        <v/>
      </c>
      <c r="I422" s="8">
        <f>D422-E422</f>
        <v/>
      </c>
      <c r="J422" s="4">
        <f>IF(F422&gt;C422,"Up",IF(F422&lt;C422,"Down","Flat"))</f>
        <v/>
      </c>
      <c r="K422" s="14" t="n">
        <v>27.39</v>
      </c>
      <c r="L422" s="15" t="n">
        <v>49.26</v>
      </c>
      <c r="M422" s="14" t="n">
        <v>1981.5</v>
      </c>
      <c r="N422" s="14" t="n">
        <v>1977.94</v>
      </c>
      <c r="O422" s="14" t="n">
        <v>1891.86</v>
      </c>
      <c r="P422" s="4">
        <f>IF(O422="","",IF(F422&gt;O422,"Above","Below"))</f>
        <v/>
      </c>
      <c r="Q422" s="16" t="n">
        <v>135995</v>
      </c>
      <c r="R422" s="17" t="n">
        <v>0</v>
      </c>
      <c r="S422" s="17" t="n">
        <v>0</v>
      </c>
      <c r="T422" s="17" t="n">
        <v>0</v>
      </c>
      <c r="U422" s="18" t="n">
        <v>0</v>
      </c>
    </row>
    <row r="423">
      <c r="A423" s="13" t="n">
        <v>45084</v>
      </c>
      <c r="B423" s="4">
        <f>TEXT(A423,"ddd")</f>
        <v/>
      </c>
      <c r="C423" s="14" t="n">
        <v>1980</v>
      </c>
      <c r="D423" s="14" t="n">
        <v>1986.5</v>
      </c>
      <c r="E423" s="14" t="n">
        <v>1955.4</v>
      </c>
      <c r="F423" s="14" t="n">
        <v>1958.4</v>
      </c>
      <c r="G423" s="9">
        <f>F423-F422</f>
        <v/>
      </c>
      <c r="H423" s="10">
        <f>IF(F422=0,0,G423/F422)</f>
        <v/>
      </c>
      <c r="I423" s="8">
        <f>D423-E423</f>
        <v/>
      </c>
      <c r="J423" s="4">
        <f>IF(F423&gt;C423,"Up",IF(F423&lt;C423,"Down","Flat"))</f>
        <v/>
      </c>
      <c r="K423" s="14" t="n">
        <v>27.65</v>
      </c>
      <c r="L423" s="15" t="n">
        <v>43.51</v>
      </c>
      <c r="M423" s="14" t="n">
        <v>1979.3</v>
      </c>
      <c r="N423" s="14" t="n">
        <v>1977.17</v>
      </c>
      <c r="O423" s="14" t="n">
        <v>1892.53</v>
      </c>
      <c r="P423" s="4">
        <f>IF(O423="","",IF(F423&gt;O423,"Above","Below"))</f>
        <v/>
      </c>
      <c r="Q423" s="16" t="n">
        <v>189529</v>
      </c>
      <c r="R423" s="17" t="n">
        <v>0</v>
      </c>
      <c r="S423" s="17" t="n">
        <v>0</v>
      </c>
      <c r="T423" s="17" t="n">
        <v>0</v>
      </c>
      <c r="U423" s="18" t="n">
        <v>0</v>
      </c>
    </row>
    <row r="424">
      <c r="A424" s="13" t="n">
        <v>45085</v>
      </c>
      <c r="B424" s="4">
        <f>TEXT(A424,"ddd")</f>
        <v/>
      </c>
      <c r="C424" s="14" t="n">
        <v>1956.2</v>
      </c>
      <c r="D424" s="14" t="n">
        <v>1985.7</v>
      </c>
      <c r="E424" s="14" t="n">
        <v>1955.2</v>
      </c>
      <c r="F424" s="14" t="n">
        <v>1978.6</v>
      </c>
      <c r="G424" s="9">
        <f>F424-F423</f>
        <v/>
      </c>
      <c r="H424" s="10">
        <f>IF(F423=0,0,G424/F423)</f>
        <v/>
      </c>
      <c r="I424" s="8">
        <f>D424-E424</f>
        <v/>
      </c>
      <c r="J424" s="4">
        <f>IF(F424&gt;C424,"Up",IF(F424&lt;C424,"Down","Flat"))</f>
        <v/>
      </c>
      <c r="K424" s="14" t="n">
        <v>27.86</v>
      </c>
      <c r="L424" s="15" t="n">
        <v>49.1</v>
      </c>
      <c r="M424" s="14" t="n">
        <v>1979.24</v>
      </c>
      <c r="N424" s="14" t="n">
        <v>1977.23</v>
      </c>
      <c r="O424" s="14" t="n">
        <v>1893.38</v>
      </c>
      <c r="P424" s="4">
        <f>IF(O424="","",IF(F424&gt;O424,"Above","Below"))</f>
        <v/>
      </c>
      <c r="Q424" s="16" t="n">
        <v>191843</v>
      </c>
      <c r="R424" s="17" t="n">
        <v>0</v>
      </c>
      <c r="S424" s="17" t="n">
        <v>0</v>
      </c>
      <c r="T424" s="17" t="n">
        <v>0</v>
      </c>
      <c r="U424" s="18" t="n">
        <v>0</v>
      </c>
    </row>
    <row r="425">
      <c r="A425" s="13" t="n">
        <v>45086</v>
      </c>
      <c r="B425" s="4">
        <f>TEXT(A425,"ddd")</f>
        <v/>
      </c>
      <c r="C425" s="14" t="n">
        <v>1980.5</v>
      </c>
      <c r="D425" s="14" t="n">
        <v>1987.8</v>
      </c>
      <c r="E425" s="14" t="n">
        <v>1971</v>
      </c>
      <c r="F425" s="14" t="n">
        <v>1977.2</v>
      </c>
      <c r="G425" s="9">
        <f>F425-F424</f>
        <v/>
      </c>
      <c r="H425" s="10">
        <f>IF(F424=0,0,G425/F424)</f>
        <v/>
      </c>
      <c r="I425" s="8">
        <f>D425-E425</f>
        <v/>
      </c>
      <c r="J425" s="4">
        <f>IF(F425&gt;C425,"Up",IF(F425&lt;C425,"Down","Flat"))</f>
        <v/>
      </c>
      <c r="K425" s="14" t="n">
        <v>27.07</v>
      </c>
      <c r="L425" s="15" t="n">
        <v>48.74</v>
      </c>
      <c r="M425" s="14" t="n">
        <v>1979.04</v>
      </c>
      <c r="N425" s="14" t="n">
        <v>1977.22</v>
      </c>
      <c r="O425" s="14" t="n">
        <v>1894.22</v>
      </c>
      <c r="P425" s="4">
        <f>IF(O425="","",IF(F425&gt;O425,"Above","Below"))</f>
        <v/>
      </c>
      <c r="Q425" s="16" t="n">
        <v>130408</v>
      </c>
      <c r="R425" s="17" t="n">
        <v>0</v>
      </c>
      <c r="S425" s="17" t="n">
        <v>0</v>
      </c>
      <c r="T425" s="17" t="n">
        <v>0</v>
      </c>
      <c r="U425" s="18" t="n">
        <v>0</v>
      </c>
    </row>
    <row r="426">
      <c r="A426" s="13" t="n">
        <v>45089</v>
      </c>
      <c r="B426" s="4">
        <f>TEXT(A426,"ddd")</f>
        <v/>
      </c>
      <c r="C426" s="14" t="n">
        <v>1975.6</v>
      </c>
      <c r="D426" s="14" t="n">
        <v>1981.4</v>
      </c>
      <c r="E426" s="14" t="n">
        <v>1963.1</v>
      </c>
      <c r="F426" s="14" t="n">
        <v>1969.7</v>
      </c>
      <c r="G426" s="9">
        <f>F426-F425</f>
        <v/>
      </c>
      <c r="H426" s="10">
        <f>IF(F425=0,0,G426/F425)</f>
        <v/>
      </c>
      <c r="I426" s="8">
        <f>D426-E426</f>
        <v/>
      </c>
      <c r="J426" s="4">
        <f>IF(F426&gt;C426,"Up",IF(F426&lt;C426,"Down","Flat"))</f>
        <v/>
      </c>
      <c r="K426" s="14" t="n">
        <v>26.44</v>
      </c>
      <c r="L426" s="15" t="n">
        <v>46.76</v>
      </c>
      <c r="M426" s="14" t="n">
        <v>1978.15</v>
      </c>
      <c r="N426" s="14" t="n">
        <v>1976.93</v>
      </c>
      <c r="O426" s="14" t="n">
        <v>1894.97</v>
      </c>
      <c r="P426" s="4">
        <f>IF(O426="","",IF(F426&gt;O426,"Above","Below"))</f>
        <v/>
      </c>
      <c r="Q426" s="16" t="n">
        <v>122542</v>
      </c>
      <c r="R426" s="17" t="n">
        <v>0</v>
      </c>
      <c r="S426" s="17" t="n">
        <v>0</v>
      </c>
      <c r="T426" s="17" t="n">
        <v>0</v>
      </c>
      <c r="U426" s="18" t="n">
        <v>0</v>
      </c>
    </row>
    <row r="427">
      <c r="A427" s="13" t="n">
        <v>45090</v>
      </c>
      <c r="B427" s="4">
        <f>TEXT(A427,"ddd")</f>
        <v/>
      </c>
      <c r="C427" s="14" t="n">
        <v>1971.4</v>
      </c>
      <c r="D427" s="14" t="n">
        <v>1985.9</v>
      </c>
      <c r="E427" s="14" t="n">
        <v>1953</v>
      </c>
      <c r="F427" s="14" t="n">
        <v>1958.6</v>
      </c>
      <c r="G427" s="9">
        <f>F427-F426</f>
        <v/>
      </c>
      <c r="H427" s="10">
        <f>IF(F426=0,0,G427/F426)</f>
        <v/>
      </c>
      <c r="I427" s="8">
        <f>D427-E427</f>
        <v/>
      </c>
      <c r="J427" s="4">
        <f>IF(F427&gt;C427,"Up",IF(F427&lt;C427,"Down","Flat"))</f>
        <v/>
      </c>
      <c r="K427" s="14" t="n">
        <v>26.9</v>
      </c>
      <c r="L427" s="15" t="n">
        <v>43.92</v>
      </c>
      <c r="M427" s="14" t="n">
        <v>1976.29</v>
      </c>
      <c r="N427" s="14" t="n">
        <v>1976.21</v>
      </c>
      <c r="O427" s="14" t="n">
        <v>1895.6</v>
      </c>
      <c r="P427" s="4">
        <f>IF(O427="","",IF(F427&gt;O427,"Above","Below"))</f>
        <v/>
      </c>
      <c r="Q427" s="16" t="n">
        <v>198397</v>
      </c>
      <c r="R427" s="17" t="n">
        <v>0</v>
      </c>
      <c r="S427" s="17" t="n">
        <v>0</v>
      </c>
      <c r="T427" s="17" t="n">
        <v>0</v>
      </c>
      <c r="U427" s="18" t="n">
        <v>0</v>
      </c>
    </row>
    <row r="428">
      <c r="A428" s="13" t="n">
        <v>45091</v>
      </c>
      <c r="B428" s="4">
        <f>TEXT(A428,"ddd")</f>
        <v/>
      </c>
      <c r="C428" s="14" t="n">
        <v>1957.2</v>
      </c>
      <c r="D428" s="14" t="n">
        <v>1973.9</v>
      </c>
      <c r="E428" s="14" t="n">
        <v>1952.5</v>
      </c>
      <c r="F428" s="14" t="n">
        <v>1968.9</v>
      </c>
      <c r="G428" s="9">
        <f>F428-F427</f>
        <v/>
      </c>
      <c r="H428" s="10">
        <f>IF(F427=0,0,G428/F427)</f>
        <v/>
      </c>
      <c r="I428" s="8">
        <f>D428-E428</f>
        <v/>
      </c>
      <c r="J428" s="4">
        <f>IF(F428&gt;C428,"Up",IF(F428&lt;C428,"Down","Flat"))</f>
        <v/>
      </c>
      <c r="K428" s="14" t="n">
        <v>26.51</v>
      </c>
      <c r="L428" s="15" t="n">
        <v>47.13</v>
      </c>
      <c r="M428" s="14" t="n">
        <v>1975.59</v>
      </c>
      <c r="N428" s="14" t="n">
        <v>1975.92</v>
      </c>
      <c r="O428" s="14" t="n">
        <v>1896.33</v>
      </c>
      <c r="P428" s="4">
        <f>IF(O428="","",IF(F428&gt;O428,"Above","Below"))</f>
        <v/>
      </c>
      <c r="Q428" s="16" t="n">
        <v>199710</v>
      </c>
      <c r="R428" s="17" t="n">
        <v>0</v>
      </c>
      <c r="S428" s="17" t="n">
        <v>0</v>
      </c>
      <c r="T428" s="17" t="n">
        <v>0</v>
      </c>
      <c r="U428" s="18" t="n">
        <v>0</v>
      </c>
    </row>
    <row r="429">
      <c r="A429" s="13" t="n">
        <v>45092</v>
      </c>
      <c r="B429" s="4">
        <f>TEXT(A429,"ddd")</f>
        <v/>
      </c>
      <c r="C429" s="14" t="n">
        <v>1955.7</v>
      </c>
      <c r="D429" s="14" t="n">
        <v>1972.8</v>
      </c>
      <c r="E429" s="14" t="n">
        <v>1936.1</v>
      </c>
      <c r="F429" s="14" t="n">
        <v>1970.7</v>
      </c>
      <c r="G429" s="9">
        <f>F429-F428</f>
        <v/>
      </c>
      <c r="H429" s="10">
        <f>IF(F428=0,0,G429/F428)</f>
        <v/>
      </c>
      <c r="I429" s="8">
        <f>D429-E429</f>
        <v/>
      </c>
      <c r="J429" s="4">
        <f>IF(F429&gt;C429,"Up",IF(F429&lt;C429,"Down","Flat"))</f>
        <v/>
      </c>
      <c r="K429" s="14" t="n">
        <v>27.24</v>
      </c>
      <c r="L429" s="15" t="n">
        <v>47.7</v>
      </c>
      <c r="M429" s="14" t="n">
        <v>1975.12</v>
      </c>
      <c r="N429" s="14" t="n">
        <v>1975.72</v>
      </c>
      <c r="O429" s="14" t="n">
        <v>1897.07</v>
      </c>
      <c r="P429" s="4">
        <f>IF(O429="","",IF(F429&gt;O429,"Above","Below"))</f>
        <v/>
      </c>
      <c r="Q429" s="16" t="n">
        <v>266353</v>
      </c>
      <c r="R429" s="17" t="n">
        <v>0</v>
      </c>
      <c r="S429" s="17" t="n">
        <v>0</v>
      </c>
      <c r="T429" s="17" t="n">
        <v>0</v>
      </c>
      <c r="U429" s="18" t="n">
        <v>0</v>
      </c>
    </row>
    <row r="430">
      <c r="A430" s="13" t="n">
        <v>45093</v>
      </c>
      <c r="B430" s="4">
        <f>TEXT(A430,"ddd")</f>
        <v/>
      </c>
      <c r="C430" s="14" t="n">
        <v>1970.3</v>
      </c>
      <c r="D430" s="14" t="n">
        <v>1980.4</v>
      </c>
      <c r="E430" s="14" t="n">
        <v>1965.4</v>
      </c>
      <c r="F430" s="14" t="n">
        <v>1971.2</v>
      </c>
      <c r="G430" s="9">
        <f>F430-F429</f>
        <v/>
      </c>
      <c r="H430" s="10">
        <f>IF(F429=0,0,G430/F429)</f>
        <v/>
      </c>
      <c r="I430" s="8">
        <f>D430-E430</f>
        <v/>
      </c>
      <c r="J430" s="4">
        <f>IF(F430&gt;C430,"Up",IF(F430&lt;C430,"Down","Flat"))</f>
        <v/>
      </c>
      <c r="K430" s="14" t="n">
        <v>26.36</v>
      </c>
      <c r="L430" s="15" t="n">
        <v>47.86</v>
      </c>
      <c r="M430" s="14" t="n">
        <v>1974.75</v>
      </c>
      <c r="N430" s="14" t="n">
        <v>1975.54</v>
      </c>
      <c r="O430" s="14" t="n">
        <v>1897.81</v>
      </c>
      <c r="P430" s="4">
        <f>IF(O430="","",IF(F430&gt;O430,"Above","Below"))</f>
        <v/>
      </c>
      <c r="Q430" s="16" t="n">
        <v>160514</v>
      </c>
      <c r="R430" s="17" t="n">
        <v>0</v>
      </c>
      <c r="S430" s="17" t="n">
        <v>0</v>
      </c>
      <c r="T430" s="17" t="n">
        <v>0</v>
      </c>
      <c r="U430" s="18" t="n">
        <v>0</v>
      </c>
    </row>
    <row r="431">
      <c r="A431" s="13" t="n">
        <v>45097</v>
      </c>
      <c r="B431" s="4">
        <f>TEXT(A431,"ddd")</f>
        <v/>
      </c>
      <c r="C431" s="14" t="n">
        <v>1970.7</v>
      </c>
      <c r="D431" s="14" t="n">
        <v>1971.8</v>
      </c>
      <c r="E431" s="14" t="n">
        <v>1940.8</v>
      </c>
      <c r="F431" s="14" t="n">
        <v>1947.7</v>
      </c>
      <c r="G431" s="9">
        <f>F431-F430</f>
        <v/>
      </c>
      <c r="H431" s="10">
        <f>IF(F430=0,0,G431/F430)</f>
        <v/>
      </c>
      <c r="I431" s="8">
        <f>D431-E431</f>
        <v/>
      </c>
      <c r="J431" s="4">
        <f>IF(F431&gt;C431,"Up",IF(F431&lt;C431,"Down","Flat"))</f>
        <v/>
      </c>
      <c r="K431" s="14" t="n">
        <v>26.69</v>
      </c>
      <c r="L431" s="15" t="n">
        <v>41.22</v>
      </c>
      <c r="M431" s="14" t="n">
        <v>1972.17</v>
      </c>
      <c r="N431" s="14" t="n">
        <v>1974.45</v>
      </c>
      <c r="O431" s="14" t="n">
        <v>1898.3</v>
      </c>
      <c r="P431" s="4">
        <f>IF(O431="","",IF(F431&gt;O431,"Above","Below"))</f>
        <v/>
      </c>
      <c r="Q431" s="16" t="n">
        <v>250140</v>
      </c>
      <c r="R431" s="17" t="n">
        <v>0</v>
      </c>
      <c r="S431" s="17" t="n">
        <v>0</v>
      </c>
      <c r="T431" s="17" t="n">
        <v>0</v>
      </c>
      <c r="U431" s="18" t="n">
        <v>0</v>
      </c>
    </row>
    <row r="432">
      <c r="A432" s="13" t="n">
        <v>45098</v>
      </c>
      <c r="B432" s="4">
        <f>TEXT(A432,"ddd")</f>
        <v/>
      </c>
      <c r="C432" s="14" t="n">
        <v>1948</v>
      </c>
      <c r="D432" s="14" t="n">
        <v>1950.4</v>
      </c>
      <c r="E432" s="14" t="n">
        <v>1929.3</v>
      </c>
      <c r="F432" s="14" t="n">
        <v>1944.9</v>
      </c>
      <c r="G432" s="9">
        <f>F432-F431</f>
        <v/>
      </c>
      <c r="H432" s="10">
        <f>IF(F431=0,0,G432/F431)</f>
        <v/>
      </c>
      <c r="I432" s="8">
        <f>D432-E432</f>
        <v/>
      </c>
      <c r="J432" s="4">
        <f>IF(F432&gt;C432,"Up",IF(F432&lt;C432,"Down","Flat"))</f>
        <v/>
      </c>
      <c r="K432" s="14" t="n">
        <v>26.29</v>
      </c>
      <c r="L432" s="15" t="n">
        <v>40.5</v>
      </c>
      <c r="M432" s="14" t="n">
        <v>1969.57</v>
      </c>
      <c r="N432" s="14" t="n">
        <v>1973.29</v>
      </c>
      <c r="O432" s="14" t="n">
        <v>1898.77</v>
      </c>
      <c r="P432" s="4">
        <f>IF(O432="","",IF(F432&gt;O432,"Above","Below"))</f>
        <v/>
      </c>
      <c r="Q432" s="16" t="n">
        <v>182021</v>
      </c>
      <c r="R432" s="17" t="n">
        <v>0</v>
      </c>
      <c r="S432" s="17" t="n">
        <v>0</v>
      </c>
      <c r="T432" s="17" t="n">
        <v>0</v>
      </c>
      <c r="U432" s="18" t="n">
        <v>0</v>
      </c>
    </row>
    <row r="433">
      <c r="A433" s="13" t="n">
        <v>45099</v>
      </c>
      <c r="B433" s="4">
        <f>TEXT(A433,"ddd")</f>
        <v/>
      </c>
      <c r="C433" s="14" t="n">
        <v>1943.3</v>
      </c>
      <c r="D433" s="14" t="n">
        <v>1945.1</v>
      </c>
      <c r="E433" s="14" t="n">
        <v>1922</v>
      </c>
      <c r="F433" s="14" t="n">
        <v>1923.7</v>
      </c>
      <c r="G433" s="9">
        <f>F433-F432</f>
        <v/>
      </c>
      <c r="H433" s="10">
        <f>IF(F432=0,0,G433/F432)</f>
        <v/>
      </c>
      <c r="I433" s="8">
        <f>D433-E433</f>
        <v/>
      </c>
      <c r="J433" s="4">
        <f>IF(F433&gt;C433,"Up",IF(F433&lt;C433,"Down","Flat"))</f>
        <v/>
      </c>
      <c r="K433" s="14" t="n">
        <v>26.07</v>
      </c>
      <c r="L433" s="15" t="n">
        <v>35.45</v>
      </c>
      <c r="M433" s="14" t="n">
        <v>1965.21</v>
      </c>
      <c r="N433" s="14" t="n">
        <v>1971.35</v>
      </c>
      <c r="O433" s="14" t="n">
        <v>1899.02</v>
      </c>
      <c r="P433" s="4">
        <f>IF(O433="","",IF(F433&gt;O433,"Above","Below"))</f>
        <v/>
      </c>
      <c r="Q433" s="16" t="n">
        <v>171779</v>
      </c>
      <c r="R433" s="17" t="n">
        <v>0</v>
      </c>
      <c r="S433" s="17" t="n">
        <v>0</v>
      </c>
      <c r="T433" s="17" t="n">
        <v>0</v>
      </c>
      <c r="U433" s="18" t="n">
        <v>0</v>
      </c>
    </row>
    <row r="434">
      <c r="A434" s="13" t="n">
        <v>45100</v>
      </c>
      <c r="B434" s="4">
        <f>TEXT(A434,"ddd")</f>
        <v/>
      </c>
      <c r="C434" s="14" t="n">
        <v>1923.5</v>
      </c>
      <c r="D434" s="14" t="n">
        <v>1949</v>
      </c>
      <c r="E434" s="14" t="n">
        <v>1919.5</v>
      </c>
      <c r="F434" s="14" t="n">
        <v>1929.6</v>
      </c>
      <c r="G434" s="9">
        <f>F434-F433</f>
        <v/>
      </c>
      <c r="H434" s="10">
        <f>IF(F433=0,0,G434/F433)</f>
        <v/>
      </c>
      <c r="I434" s="8">
        <f>D434-E434</f>
        <v/>
      </c>
      <c r="J434" s="4">
        <f>IF(F434&gt;C434,"Up",IF(F434&lt;C434,"Down","Flat"))</f>
        <v/>
      </c>
      <c r="K434" s="14" t="n">
        <v>26.31</v>
      </c>
      <c r="L434" s="15" t="n">
        <v>37.78</v>
      </c>
      <c r="M434" s="14" t="n">
        <v>1961.81</v>
      </c>
      <c r="N434" s="14" t="n">
        <v>1969.71</v>
      </c>
      <c r="O434" s="14" t="n">
        <v>1899.32</v>
      </c>
      <c r="P434" s="4">
        <f>IF(O434="","",IF(F434&gt;O434,"Above","Below"))</f>
        <v/>
      </c>
      <c r="Q434" s="16" t="n">
        <v>186861</v>
      </c>
      <c r="R434" s="17" t="n">
        <v>0</v>
      </c>
      <c r="S434" s="17" t="n">
        <v>0</v>
      </c>
      <c r="T434" s="17" t="n">
        <v>0</v>
      </c>
      <c r="U434" s="18" t="n">
        <v>0</v>
      </c>
    </row>
    <row r="435">
      <c r="A435" s="13" t="n">
        <v>45103</v>
      </c>
      <c r="B435" s="4">
        <f>TEXT(A435,"ddd")</f>
        <v/>
      </c>
      <c r="C435" s="14" t="n">
        <v>1936.3</v>
      </c>
      <c r="D435" s="14" t="n">
        <v>1943.4</v>
      </c>
      <c r="E435" s="14" t="n">
        <v>1931.1</v>
      </c>
      <c r="F435" s="14" t="n">
        <v>1933.8</v>
      </c>
      <c r="G435" s="9">
        <f>F435-F434</f>
        <v/>
      </c>
      <c r="H435" s="10">
        <f>IF(F434=0,0,G435/F434)</f>
        <v/>
      </c>
      <c r="I435" s="8">
        <f>D435-E435</f>
        <v/>
      </c>
      <c r="J435" s="4">
        <f>IF(F435&gt;C435,"Up",IF(F435&lt;C435,"Down","Flat"))</f>
        <v/>
      </c>
      <c r="K435" s="14" t="n">
        <v>25.42</v>
      </c>
      <c r="L435" s="15" t="n">
        <v>39.45</v>
      </c>
      <c r="M435" s="14" t="n">
        <v>1959.15</v>
      </c>
      <c r="N435" s="14" t="n">
        <v>1968.3</v>
      </c>
      <c r="O435" s="14" t="n">
        <v>1899.66</v>
      </c>
      <c r="P435" s="4">
        <f>IF(O435="","",IF(F435&gt;O435,"Above","Below"))</f>
        <v/>
      </c>
      <c r="Q435" s="16" t="n">
        <v>147769</v>
      </c>
      <c r="R435" s="17" t="n">
        <v>0</v>
      </c>
      <c r="S435" s="17" t="n">
        <v>0</v>
      </c>
      <c r="T435" s="17" t="n">
        <v>0</v>
      </c>
      <c r="U435" s="18" t="n">
        <v>0</v>
      </c>
    </row>
    <row r="436">
      <c r="A436" s="13" t="n">
        <v>45104</v>
      </c>
      <c r="B436" s="4">
        <f>TEXT(A436,"ddd")</f>
        <v/>
      </c>
      <c r="C436" s="14" t="n">
        <v>1932.7</v>
      </c>
      <c r="D436" s="14" t="n">
        <v>1940.3</v>
      </c>
      <c r="E436" s="14" t="n">
        <v>1919.8</v>
      </c>
      <c r="F436" s="14" t="n">
        <v>1923.8</v>
      </c>
      <c r="G436" s="9">
        <f>F436-F435</f>
        <v/>
      </c>
      <c r="H436" s="10">
        <f>IF(F435=0,0,G436/F435)</f>
        <v/>
      </c>
      <c r="I436" s="8">
        <f>D436-E436</f>
        <v/>
      </c>
      <c r="J436" s="4">
        <f>IF(F436&gt;C436,"Up",IF(F436&lt;C436,"Down","Flat"))</f>
        <v/>
      </c>
      <c r="K436" s="14" t="n">
        <v>25.07</v>
      </c>
      <c r="L436" s="15" t="n">
        <v>36.91</v>
      </c>
      <c r="M436" s="14" t="n">
        <v>1955.78</v>
      </c>
      <c r="N436" s="14" t="n">
        <v>1966.56</v>
      </c>
      <c r="O436" s="14" t="n">
        <v>1899.9</v>
      </c>
      <c r="P436" s="4">
        <f>IF(O436="","",IF(F436&gt;O436,"Above","Below"))</f>
        <v/>
      </c>
      <c r="Q436" s="16" t="n">
        <v>180436</v>
      </c>
      <c r="R436" s="17" t="n">
        <v>0</v>
      </c>
      <c r="S436" s="17" t="n">
        <v>0</v>
      </c>
      <c r="T436" s="17" t="n">
        <v>0</v>
      </c>
      <c r="U436" s="18" t="n">
        <v>0</v>
      </c>
    </row>
    <row r="437">
      <c r="A437" s="13" t="n">
        <v>45105</v>
      </c>
      <c r="B437" s="4">
        <f>TEXT(A437,"ddd")</f>
        <v/>
      </c>
      <c r="C437" s="14" t="n">
        <v>1923.1</v>
      </c>
      <c r="D437" s="14" t="n">
        <v>1926.1</v>
      </c>
      <c r="E437" s="14" t="n">
        <v>1911.4</v>
      </c>
      <c r="F437" s="14" t="n">
        <v>1922.2</v>
      </c>
      <c r="G437" s="9">
        <f>F437-F436</f>
        <v/>
      </c>
      <c r="H437" s="10">
        <f>IF(F436=0,0,G437/F436)</f>
        <v/>
      </c>
      <c r="I437" s="8">
        <f>D437-E437</f>
        <v/>
      </c>
      <c r="J437" s="4">
        <f>IF(F437&gt;C437,"Up",IF(F437&lt;C437,"Down","Flat"))</f>
        <v/>
      </c>
      <c r="K437" s="14" t="n">
        <v>24.33</v>
      </c>
      <c r="L437" s="15" t="n">
        <v>36.5</v>
      </c>
      <c r="M437" s="14" t="n">
        <v>1952.58</v>
      </c>
      <c r="N437" s="14" t="n">
        <v>1964.82</v>
      </c>
      <c r="O437" s="14" t="n">
        <v>1900.13</v>
      </c>
      <c r="P437" s="4">
        <f>IF(O437="","",IF(F437&gt;O437,"Above","Below"))</f>
        <v/>
      </c>
      <c r="Q437" s="16" t="n">
        <v>162493</v>
      </c>
      <c r="R437" s="17" t="n">
        <v>0</v>
      </c>
      <c r="S437" s="17" t="n">
        <v>0</v>
      </c>
      <c r="T437" s="17" t="n">
        <v>0</v>
      </c>
      <c r="U437" s="18" t="n">
        <v>0</v>
      </c>
    </row>
    <row r="438">
      <c r="A438" s="13" t="n">
        <v>45106</v>
      </c>
      <c r="B438" s="4">
        <f>TEXT(A438,"ddd")</f>
        <v/>
      </c>
      <c r="C438" s="14" t="n">
        <v>1916.5</v>
      </c>
      <c r="D438" s="14" t="n">
        <v>1921.3</v>
      </c>
      <c r="E438" s="14" t="n">
        <v>1900.6</v>
      </c>
      <c r="F438" s="14" t="n">
        <v>1917.9</v>
      </c>
      <c r="G438" s="9">
        <f>F438-F437</f>
        <v/>
      </c>
      <c r="H438" s="10">
        <f>IF(F437=0,0,G438/F437)</f>
        <v/>
      </c>
      <c r="I438" s="8">
        <f>D438-E438</f>
        <v/>
      </c>
      <c r="J438" s="4">
        <f>IF(F438&gt;C438,"Up",IF(F438&lt;C438,"Down","Flat"))</f>
        <v/>
      </c>
      <c r="K438" s="14" t="n">
        <v>24.13</v>
      </c>
      <c r="L438" s="15" t="n">
        <v>35.37</v>
      </c>
      <c r="M438" s="14" t="n">
        <v>1949.28</v>
      </c>
      <c r="N438" s="14" t="n">
        <v>1962.98</v>
      </c>
      <c r="O438" s="14" t="n">
        <v>1900.3</v>
      </c>
      <c r="P438" s="4">
        <f>IF(O438="","",IF(F438&gt;O438,"Above","Below"))</f>
        <v/>
      </c>
      <c r="Q438" s="16" t="n">
        <v>205252</v>
      </c>
      <c r="R438" s="17" t="n">
        <v>0</v>
      </c>
      <c r="S438" s="17" t="n">
        <v>0</v>
      </c>
      <c r="T438" s="17" t="n">
        <v>0</v>
      </c>
      <c r="U438" s="18" t="n">
        <v>0</v>
      </c>
    </row>
    <row r="439">
      <c r="A439" s="13" t="n">
        <v>45107</v>
      </c>
      <c r="B439" s="4">
        <f>TEXT(A439,"ddd")</f>
        <v/>
      </c>
      <c r="C439" s="14" t="n">
        <v>1916.4</v>
      </c>
      <c r="D439" s="14" t="n">
        <v>1930.8</v>
      </c>
      <c r="E439" s="14" t="n">
        <v>1908.1</v>
      </c>
      <c r="F439" s="14" t="n">
        <v>1929.4</v>
      </c>
      <c r="G439" s="9">
        <f>F439-F438</f>
        <v/>
      </c>
      <c r="H439" s="10">
        <f>IF(F438=0,0,G439/F438)</f>
        <v/>
      </c>
      <c r="I439" s="8">
        <f>D439-E439</f>
        <v/>
      </c>
      <c r="J439" s="4">
        <f>IF(F439&gt;C439,"Up",IF(F439&lt;C439,"Down","Flat"))</f>
        <v/>
      </c>
      <c r="K439" s="14" t="n">
        <v>24.03</v>
      </c>
      <c r="L439" s="15" t="n">
        <v>40.65</v>
      </c>
      <c r="M439" s="14" t="n">
        <v>1947.39</v>
      </c>
      <c r="N439" s="14" t="n">
        <v>1961.66</v>
      </c>
      <c r="O439" s="14" t="n">
        <v>1900.59</v>
      </c>
      <c r="P439" s="4">
        <f>IF(O439="","",IF(F439&gt;O439,"Above","Below"))</f>
        <v/>
      </c>
      <c r="Q439" s="16" t="n">
        <v>180688</v>
      </c>
      <c r="R439" s="17" t="n">
        <v>0</v>
      </c>
      <c r="S439" s="17" t="n">
        <v>0</v>
      </c>
      <c r="T439" s="17" t="n">
        <v>0</v>
      </c>
      <c r="U439" s="18" t="n">
        <v>0</v>
      </c>
    </row>
    <row r="440">
      <c r="A440" s="13" t="n">
        <v>45110</v>
      </c>
      <c r="B440" s="4">
        <f>TEXT(A440,"ddd")</f>
        <v/>
      </c>
      <c r="C440" s="14" t="n">
        <v>1927.8</v>
      </c>
      <c r="D440" s="14" t="n">
        <v>1939.9</v>
      </c>
      <c r="E440" s="14" t="n">
        <v>1917.7</v>
      </c>
      <c r="F440" s="14" t="n">
        <v>1929.5</v>
      </c>
      <c r="G440" s="9">
        <f>F440-F439</f>
        <v/>
      </c>
      <c r="H440" s="10">
        <f>IF(F439=0,0,G440/F439)</f>
        <v/>
      </c>
      <c r="I440" s="8">
        <f>D440-E440</f>
        <v/>
      </c>
      <c r="J440" s="4">
        <f>IF(F440&gt;C440,"Up",IF(F440&lt;C440,"Down","Flat"))</f>
        <v/>
      </c>
      <c r="K440" s="14" t="n">
        <v>23.9</v>
      </c>
      <c r="L440" s="15" t="n">
        <v>40.69</v>
      </c>
      <c r="M440" s="14" t="n">
        <v>1945.68</v>
      </c>
      <c r="N440" s="14" t="n">
        <v>1960.4</v>
      </c>
      <c r="O440" s="14" t="n">
        <v>1900.88</v>
      </c>
      <c r="P440" s="4">
        <f>IF(O440="","",IF(F440&gt;O440,"Above","Below"))</f>
        <v/>
      </c>
      <c r="Q440" s="16" t="n">
        <v>152959</v>
      </c>
      <c r="R440" s="17" t="n">
        <v>0</v>
      </c>
      <c r="S440" s="17" t="n">
        <v>0</v>
      </c>
      <c r="T440" s="17" t="n">
        <v>0</v>
      </c>
      <c r="U440" s="18" t="n">
        <v>0</v>
      </c>
    </row>
    <row r="441">
      <c r="A441" s="13" t="n">
        <v>45112</v>
      </c>
      <c r="B441" s="4">
        <f>TEXT(A441,"ddd")</f>
        <v/>
      </c>
      <c r="C441" s="14" t="n">
        <v>1929.1</v>
      </c>
      <c r="D441" s="14" t="n">
        <v>1942.9</v>
      </c>
      <c r="E441" s="14" t="n">
        <v>1922.1</v>
      </c>
      <c r="F441" s="14" t="n">
        <v>1927.1</v>
      </c>
      <c r="G441" s="9">
        <f>F441-F440</f>
        <v/>
      </c>
      <c r="H441" s="10">
        <f>IF(F440=0,0,G441/F440)</f>
        <v/>
      </c>
      <c r="I441" s="8">
        <f>D441-E441</f>
        <v/>
      </c>
      <c r="J441" s="4">
        <f>IF(F441&gt;C441,"Up",IF(F441&lt;C441,"Down","Flat"))</f>
        <v/>
      </c>
      <c r="K441" s="14" t="n">
        <v>23.68</v>
      </c>
      <c r="L441" s="15" t="n">
        <v>39.9</v>
      </c>
      <c r="M441" s="14" t="n">
        <v>1943.91</v>
      </c>
      <c r="N441" s="14" t="n">
        <v>1959.09</v>
      </c>
      <c r="O441" s="14" t="n">
        <v>1901.14</v>
      </c>
      <c r="P441" s="4">
        <f>IF(O441="","",IF(F441&gt;O441,"Above","Below"))</f>
        <v/>
      </c>
      <c r="Q441" s="16" t="n">
        <v>245932</v>
      </c>
      <c r="R441" s="17" t="n">
        <v>0</v>
      </c>
      <c r="S441" s="17" t="n">
        <v>0</v>
      </c>
      <c r="T441" s="17" t="n">
        <v>0</v>
      </c>
      <c r="U441" s="18" t="n">
        <v>0</v>
      </c>
    </row>
    <row r="442">
      <c r="A442" s="13" t="n">
        <v>45113</v>
      </c>
      <c r="B442" s="4">
        <f>TEXT(A442,"ddd")</f>
        <v/>
      </c>
      <c r="C442" s="14" t="n">
        <v>1922.4</v>
      </c>
      <c r="D442" s="14" t="n">
        <v>1934</v>
      </c>
      <c r="E442" s="14" t="n">
        <v>1908.5</v>
      </c>
      <c r="F442" s="14" t="n">
        <v>1915.4</v>
      </c>
      <c r="G442" s="9">
        <f>F442-F441</f>
        <v/>
      </c>
      <c r="H442" s="10">
        <f>IF(F441=0,0,G442/F441)</f>
        <v/>
      </c>
      <c r="I442" s="8">
        <f>D442-E442</f>
        <v/>
      </c>
      <c r="J442" s="4">
        <f>IF(F442&gt;C442,"Up",IF(F442&lt;C442,"Down","Flat"))</f>
        <v/>
      </c>
      <c r="K442" s="14" t="n">
        <v>23.81</v>
      </c>
      <c r="L442" s="15" t="n">
        <v>36.22</v>
      </c>
      <c r="M442" s="14" t="n">
        <v>1941.2</v>
      </c>
      <c r="N442" s="14" t="n">
        <v>1957.38</v>
      </c>
      <c r="O442" s="14" t="n">
        <v>1901.28</v>
      </c>
      <c r="P442" s="4">
        <f>IF(O442="","",IF(F442&gt;O442,"Above","Below"))</f>
        <v/>
      </c>
      <c r="Q442" s="16" t="n">
        <v>231513</v>
      </c>
      <c r="R442" s="17" t="n">
        <v>0</v>
      </c>
      <c r="S442" s="17" t="n">
        <v>0</v>
      </c>
      <c r="T442" s="17" t="n">
        <v>0</v>
      </c>
      <c r="U442" s="18" t="n">
        <v>0</v>
      </c>
    </row>
    <row r="443">
      <c r="A443" s="13" t="n">
        <v>45114</v>
      </c>
      <c r="B443" s="4">
        <f>TEXT(A443,"ddd")</f>
        <v/>
      </c>
      <c r="C443" s="14" t="n">
        <v>1916.6</v>
      </c>
      <c r="D443" s="14" t="n">
        <v>1941.1</v>
      </c>
      <c r="E443" s="14" t="n">
        <v>1915.4</v>
      </c>
      <c r="F443" s="14" t="n">
        <v>1932.5</v>
      </c>
      <c r="G443" s="9">
        <f>F443-F442</f>
        <v/>
      </c>
      <c r="H443" s="10">
        <f>IF(F442=0,0,G443/F442)</f>
        <v/>
      </c>
      <c r="I443" s="8">
        <f>D443-E443</f>
        <v/>
      </c>
      <c r="J443" s="4">
        <f>IF(F443&gt;C443,"Up",IF(F443&lt;C443,"Down","Flat"))</f>
        <v/>
      </c>
      <c r="K443" s="14" t="n">
        <v>23.94</v>
      </c>
      <c r="L443" s="15" t="n">
        <v>44.31</v>
      </c>
      <c r="M443" s="14" t="n">
        <v>1940.37</v>
      </c>
      <c r="N443" s="14" t="n">
        <v>1956.4</v>
      </c>
      <c r="O443" s="14" t="n">
        <v>1901.59</v>
      </c>
      <c r="P443" s="4">
        <f>IF(O443="","",IF(F443&gt;O443,"Above","Below"))</f>
        <v/>
      </c>
      <c r="Q443" s="16" t="n">
        <v>214272</v>
      </c>
      <c r="R443" s="17" t="n">
        <v>0</v>
      </c>
      <c r="S443" s="17" t="n">
        <v>0</v>
      </c>
      <c r="T443" s="17" t="n">
        <v>0</v>
      </c>
      <c r="U443" s="18" t="n">
        <v>0</v>
      </c>
    </row>
    <row r="444">
      <c r="A444" s="13" t="n">
        <v>45117</v>
      </c>
      <c r="B444" s="4">
        <f>TEXT(A444,"ddd")</f>
        <v/>
      </c>
      <c r="C444" s="14" t="n">
        <v>1930.7</v>
      </c>
      <c r="D444" s="14" t="n">
        <v>1933.7</v>
      </c>
      <c r="E444" s="14" t="n">
        <v>1918</v>
      </c>
      <c r="F444" s="14" t="n">
        <v>1931</v>
      </c>
      <c r="G444" s="9">
        <f>F444-F443</f>
        <v/>
      </c>
      <c r="H444" s="10">
        <f>IF(F443=0,0,G444/F443)</f>
        <v/>
      </c>
      <c r="I444" s="8">
        <f>D444-E444</f>
        <v/>
      </c>
      <c r="J444" s="4">
        <f>IF(F444&gt;C444,"Up",IF(F444&lt;C444,"Down","Flat"))</f>
        <v/>
      </c>
      <c r="K444" s="14" t="n">
        <v>23.35</v>
      </c>
      <c r="L444" s="15" t="n">
        <v>43.78</v>
      </c>
      <c r="M444" s="14" t="n">
        <v>1939.48</v>
      </c>
      <c r="N444" s="14" t="n">
        <v>1955.41</v>
      </c>
      <c r="O444" s="14" t="n">
        <v>1901.89</v>
      </c>
      <c r="P444" s="4">
        <f>IF(O444="","",IF(F444&gt;O444,"Above","Below"))</f>
        <v/>
      </c>
      <c r="Q444" s="16" t="n">
        <v>208085</v>
      </c>
      <c r="R444" s="17" t="n">
        <v>0</v>
      </c>
      <c r="S444" s="17" t="n">
        <v>0</v>
      </c>
      <c r="T444" s="17" t="n">
        <v>0</v>
      </c>
      <c r="U444" s="18" t="n">
        <v>0</v>
      </c>
    </row>
    <row r="445">
      <c r="A445" s="13" t="n">
        <v>45118</v>
      </c>
      <c r="B445" s="4">
        <f>TEXT(A445,"ddd")</f>
        <v/>
      </c>
      <c r="C445" s="14" t="n">
        <v>1930.8</v>
      </c>
      <c r="D445" s="14" t="n">
        <v>1944.5</v>
      </c>
      <c r="E445" s="14" t="n">
        <v>1929.8</v>
      </c>
      <c r="F445" s="14" t="n">
        <v>1937.1</v>
      </c>
      <c r="G445" s="9">
        <f>F445-F444</f>
        <v/>
      </c>
      <c r="H445" s="10">
        <f>IF(F444=0,0,G445/F444)</f>
        <v/>
      </c>
      <c r="I445" s="8">
        <f>D445-E445</f>
        <v/>
      </c>
      <c r="J445" s="4">
        <f>IF(F445&gt;C445,"Up",IF(F445&lt;C445,"Down","Flat"))</f>
        <v/>
      </c>
      <c r="K445" s="14" t="n">
        <v>22.74</v>
      </c>
      <c r="L445" s="15" t="n">
        <v>46.55</v>
      </c>
      <c r="M445" s="14" t="n">
        <v>1939.25</v>
      </c>
      <c r="N445" s="14" t="n">
        <v>1954.69</v>
      </c>
      <c r="O445" s="14" t="n">
        <v>1902.24</v>
      </c>
      <c r="P445" s="4">
        <f>IF(O445="","",IF(F445&gt;O445,"Above","Below"))</f>
        <v/>
      </c>
      <c r="Q445" s="16" t="n">
        <v>189372</v>
      </c>
      <c r="R445" s="17" t="n">
        <v>0</v>
      </c>
      <c r="S445" s="17" t="n">
        <v>0</v>
      </c>
      <c r="T445" s="17" t="n">
        <v>0</v>
      </c>
      <c r="U445" s="18" t="n">
        <v>0</v>
      </c>
    </row>
    <row r="446">
      <c r="A446" s="13" t="n">
        <v>45119</v>
      </c>
      <c r="B446" s="4">
        <f>TEXT(A446,"ddd")</f>
        <v/>
      </c>
      <c r="C446" s="14" t="n">
        <v>1938</v>
      </c>
      <c r="D446" s="14" t="n">
        <v>1965.1</v>
      </c>
      <c r="E446" s="14" t="n">
        <v>1937.5</v>
      </c>
      <c r="F446" s="14" t="n">
        <v>1961.7</v>
      </c>
      <c r="G446" s="9">
        <f>F446-F445</f>
        <v/>
      </c>
      <c r="H446" s="10">
        <f>IF(F445=0,0,G446/F445)</f>
        <v/>
      </c>
      <c r="I446" s="8">
        <f>D446-E446</f>
        <v/>
      </c>
      <c r="J446" s="4">
        <f>IF(F446&gt;C446,"Up",IF(F446&lt;C446,"Down","Flat"))</f>
        <v/>
      </c>
      <c r="K446" s="14" t="n">
        <v>23.11</v>
      </c>
      <c r="L446" s="15" t="n">
        <v>55.97</v>
      </c>
      <c r="M446" s="14" t="n">
        <v>1941.39</v>
      </c>
      <c r="N446" s="14" t="n">
        <v>1954.96</v>
      </c>
      <c r="O446" s="14" t="n">
        <v>1902.83</v>
      </c>
      <c r="P446" s="4">
        <f>IF(O446="","",IF(F446&gt;O446,"Above","Below"))</f>
        <v/>
      </c>
      <c r="Q446" s="16" t="n">
        <v>270869</v>
      </c>
      <c r="R446" s="17" t="n">
        <v>0</v>
      </c>
      <c r="S446" s="17" t="n">
        <v>0</v>
      </c>
      <c r="T446" s="17" t="n">
        <v>0</v>
      </c>
      <c r="U446" s="18" t="n">
        <v>0</v>
      </c>
    </row>
    <row r="447">
      <c r="A447" s="13" t="n">
        <v>45120</v>
      </c>
      <c r="B447" s="4">
        <f>TEXT(A447,"ddd")</f>
        <v/>
      </c>
      <c r="C447" s="14" t="n">
        <v>1962.7</v>
      </c>
      <c r="D447" s="14" t="n">
        <v>1968.5</v>
      </c>
      <c r="E447" s="14" t="n">
        <v>1956.6</v>
      </c>
      <c r="F447" s="14" t="n">
        <v>1963.8</v>
      </c>
      <c r="G447" s="9">
        <f>F447-F446</f>
        <v/>
      </c>
      <c r="H447" s="10">
        <f>IF(F446=0,0,G447/F446)</f>
        <v/>
      </c>
      <c r="I447" s="8">
        <f>D447-E447</f>
        <v/>
      </c>
      <c r="J447" s="4">
        <f>IF(F447&gt;C447,"Up",IF(F447&lt;C447,"Down","Flat"))</f>
        <v/>
      </c>
      <c r="K447" s="14" t="n">
        <v>22.31</v>
      </c>
      <c r="L447" s="15" t="n">
        <v>56.67</v>
      </c>
      <c r="M447" s="14" t="n">
        <v>1943.52</v>
      </c>
      <c r="N447" s="14" t="n">
        <v>1955.31</v>
      </c>
      <c r="O447" s="14" t="n">
        <v>1903.43</v>
      </c>
      <c r="P447" s="4">
        <f>IF(O447="","",IF(F447&gt;O447,"Above","Below"))</f>
        <v/>
      </c>
      <c r="Q447" s="16" t="n">
        <v>241215</v>
      </c>
      <c r="R447" s="17" t="n">
        <v>0</v>
      </c>
      <c r="S447" s="17" t="n">
        <v>0</v>
      </c>
      <c r="T447" s="17" t="n">
        <v>0</v>
      </c>
      <c r="U447" s="18" t="n">
        <v>0</v>
      </c>
    </row>
    <row r="448">
      <c r="A448" s="13" t="n">
        <v>45121</v>
      </c>
      <c r="B448" s="4">
        <f>TEXT(A448,"ddd")</f>
        <v/>
      </c>
      <c r="C448" s="14" t="n">
        <v>1965.2</v>
      </c>
      <c r="D448" s="14" t="n">
        <v>1967.8</v>
      </c>
      <c r="E448" s="14" t="n">
        <v>1954.7</v>
      </c>
      <c r="F448" s="14" t="n">
        <v>1964.4</v>
      </c>
      <c r="G448" s="9">
        <f>F448-F447</f>
        <v/>
      </c>
      <c r="H448" s="10">
        <f>IF(F447=0,0,G448/F447)</f>
        <v/>
      </c>
      <c r="I448" s="8">
        <f>D448-E448</f>
        <v/>
      </c>
      <c r="J448" s="4">
        <f>IF(F448&gt;C448,"Up",IF(F448&lt;C448,"Down","Flat"))</f>
        <v/>
      </c>
      <c r="K448" s="14" t="n">
        <v>21.65</v>
      </c>
      <c r="L448" s="15" t="n">
        <v>56.88</v>
      </c>
      <c r="M448" s="14" t="n">
        <v>1945.51</v>
      </c>
      <c r="N448" s="14" t="n">
        <v>1955.67</v>
      </c>
      <c r="O448" s="14" t="n">
        <v>1904.04</v>
      </c>
      <c r="P448" s="4">
        <f>IF(O448="","",IF(F448&gt;O448,"Above","Below"))</f>
        <v/>
      </c>
      <c r="Q448" s="16" t="n">
        <v>209306</v>
      </c>
      <c r="R448" s="17" t="n">
        <v>0</v>
      </c>
      <c r="S448" s="17" t="n">
        <v>0</v>
      </c>
      <c r="T448" s="17" t="n">
        <v>0</v>
      </c>
      <c r="U448" s="18" t="n">
        <v>0</v>
      </c>
    </row>
    <row r="449">
      <c r="A449" s="13" t="n">
        <v>45124</v>
      </c>
      <c r="B449" s="4">
        <f>TEXT(A449,"ddd")</f>
        <v/>
      </c>
      <c r="C449" s="14" t="n">
        <v>1958.6</v>
      </c>
      <c r="D449" s="14" t="n">
        <v>1963.6</v>
      </c>
      <c r="E449" s="14" t="n">
        <v>1949</v>
      </c>
      <c r="F449" s="14" t="n">
        <v>1956.4</v>
      </c>
      <c r="G449" s="9">
        <f>F449-F448</f>
        <v/>
      </c>
      <c r="H449" s="10">
        <f>IF(F448=0,0,G449/F448)</f>
        <v/>
      </c>
      <c r="I449" s="8">
        <f>D449-E449</f>
        <v/>
      </c>
      <c r="J449" s="4">
        <f>IF(F449&gt;C449,"Up",IF(F449&lt;C449,"Down","Flat"))</f>
        <v/>
      </c>
      <c r="K449" s="14" t="n">
        <v>21.21</v>
      </c>
      <c r="L449" s="15" t="n">
        <v>53.16</v>
      </c>
      <c r="M449" s="14" t="n">
        <v>1946.55</v>
      </c>
      <c r="N449" s="14" t="n">
        <v>1955.7</v>
      </c>
      <c r="O449" s="14" t="n">
        <v>1904.56</v>
      </c>
      <c r="P449" s="4">
        <f>IF(O449="","",IF(F449&gt;O449,"Above","Below"))</f>
        <v/>
      </c>
      <c r="Q449" s="16" t="n">
        <v>165833</v>
      </c>
      <c r="R449" s="17" t="n">
        <v>0</v>
      </c>
      <c r="S449" s="17" t="n">
        <v>0</v>
      </c>
      <c r="T449" s="17" t="n">
        <v>0</v>
      </c>
      <c r="U449" s="18" t="n">
        <v>0</v>
      </c>
    </row>
    <row r="450">
      <c r="A450" s="13" t="n">
        <v>45125</v>
      </c>
      <c r="B450" s="4">
        <f>TEXT(A450,"ddd")</f>
        <v/>
      </c>
      <c r="C450" s="14" t="n">
        <v>1958.3</v>
      </c>
      <c r="D450" s="14" t="n">
        <v>1988.3</v>
      </c>
      <c r="E450" s="14" t="n">
        <v>1958.1</v>
      </c>
      <c r="F450" s="14" t="n">
        <v>1980.8</v>
      </c>
      <c r="G450" s="9">
        <f>F450-F449</f>
        <v/>
      </c>
      <c r="H450" s="10">
        <f>IF(F449=0,0,G450/F449)</f>
        <v/>
      </c>
      <c r="I450" s="8">
        <f>D450-E450</f>
        <v/>
      </c>
      <c r="J450" s="4">
        <f>IF(F450&gt;C450,"Up",IF(F450&lt;C450,"Down","Flat"))</f>
        <v/>
      </c>
      <c r="K450" s="14" t="n">
        <v>21.97</v>
      </c>
      <c r="L450" s="15" t="n">
        <v>61.45</v>
      </c>
      <c r="M450" s="14" t="n">
        <v>1949.81</v>
      </c>
      <c r="N450" s="14" t="n">
        <v>1956.68</v>
      </c>
      <c r="O450" s="14" t="n">
        <v>1905.32</v>
      </c>
      <c r="P450" s="4">
        <f>IF(O450="","",IF(F450&gt;O450,"Above","Below"))</f>
        <v/>
      </c>
      <c r="Q450" s="16" t="n">
        <v>264086</v>
      </c>
      <c r="R450" s="17" t="n">
        <v>0</v>
      </c>
      <c r="S450" s="17" t="n">
        <v>0</v>
      </c>
      <c r="T450" s="17" t="n">
        <v>0</v>
      </c>
      <c r="U450" s="18" t="n">
        <v>0</v>
      </c>
    </row>
    <row r="451">
      <c r="A451" s="13" t="n">
        <v>45126</v>
      </c>
      <c r="B451" s="4">
        <f>TEXT(A451,"ddd")</f>
        <v/>
      </c>
      <c r="C451" s="14" t="n">
        <v>1982.5</v>
      </c>
      <c r="D451" s="14" t="n">
        <v>1984.6</v>
      </c>
      <c r="E451" s="14" t="n">
        <v>1973.3</v>
      </c>
      <c r="F451" s="14" t="n">
        <v>1980.8</v>
      </c>
      <c r="G451" s="9">
        <f>F451-F450</f>
        <v/>
      </c>
      <c r="H451" s="10">
        <f>IF(F450=0,0,G451/F450)</f>
        <v/>
      </c>
      <c r="I451" s="8">
        <f>D451-E451</f>
        <v/>
      </c>
      <c r="J451" s="4">
        <f>IF(F451&gt;C451,"Up",IF(F451&lt;C451,"Down","Flat"))</f>
        <v/>
      </c>
      <c r="K451" s="14" t="n">
        <v>21.21</v>
      </c>
      <c r="L451" s="15" t="n">
        <v>61.45</v>
      </c>
      <c r="M451" s="14" t="n">
        <v>1952.76</v>
      </c>
      <c r="N451" s="14" t="n">
        <v>1957.63</v>
      </c>
      <c r="O451" s="14" t="n">
        <v>1906.07</v>
      </c>
      <c r="P451" s="4">
        <f>IF(O451="","",IF(F451&gt;O451,"Above","Below"))</f>
        <v/>
      </c>
      <c r="Q451" s="16" t="n">
        <v>159409</v>
      </c>
      <c r="R451" s="17" t="n">
        <v>0</v>
      </c>
      <c r="S451" s="17" t="n">
        <v>0</v>
      </c>
      <c r="T451" s="17" t="n">
        <v>0</v>
      </c>
      <c r="U451" s="18" t="n">
        <v>0</v>
      </c>
    </row>
    <row r="452">
      <c r="A452" s="13" t="n">
        <v>45127</v>
      </c>
      <c r="B452" s="4">
        <f>TEXT(A452,"ddd")</f>
        <v/>
      </c>
      <c r="C452" s="14" t="n">
        <v>1980</v>
      </c>
      <c r="D452" s="14" t="n">
        <v>1989.8</v>
      </c>
      <c r="E452" s="14" t="n">
        <v>1967.7</v>
      </c>
      <c r="F452" s="14" t="n">
        <v>1970.9</v>
      </c>
      <c r="G452" s="9">
        <f>F452-F451</f>
        <v/>
      </c>
      <c r="H452" s="10">
        <f>IF(F451=0,0,G452/F451)</f>
        <v/>
      </c>
      <c r="I452" s="8">
        <f>D452-E452</f>
        <v/>
      </c>
      <c r="J452" s="4">
        <f>IF(F452&gt;C452,"Up",IF(F452&lt;C452,"Down","Flat"))</f>
        <v/>
      </c>
      <c r="K452" s="14" t="n">
        <v>21.27</v>
      </c>
      <c r="L452" s="15" t="n">
        <v>56.73</v>
      </c>
      <c r="M452" s="14" t="n">
        <v>1954.49</v>
      </c>
      <c r="N452" s="14" t="n">
        <v>1958.15</v>
      </c>
      <c r="O452" s="14" t="n">
        <v>1906.72</v>
      </c>
      <c r="P452" s="4">
        <f>IF(O452="","",IF(F452&gt;O452,"Above","Below"))</f>
        <v/>
      </c>
      <c r="Q452" s="16" t="n">
        <v>189926</v>
      </c>
      <c r="R452" s="17" t="n">
        <v>0</v>
      </c>
      <c r="S452" s="17" t="n">
        <v>0</v>
      </c>
      <c r="T452" s="17" t="n">
        <v>0</v>
      </c>
      <c r="U452" s="18" t="n">
        <v>0</v>
      </c>
    </row>
    <row r="453">
      <c r="A453" s="13" t="n">
        <v>45128</v>
      </c>
      <c r="B453" s="4">
        <f>TEXT(A453,"ddd")</f>
        <v/>
      </c>
      <c r="C453" s="14" t="n">
        <v>1972.1</v>
      </c>
      <c r="D453" s="14" t="n">
        <v>1975.9</v>
      </c>
      <c r="E453" s="14" t="n">
        <v>1958.8</v>
      </c>
      <c r="F453" s="14" t="n">
        <v>1966.6</v>
      </c>
      <c r="G453" s="9">
        <f>F453-F452</f>
        <v/>
      </c>
      <c r="H453" s="10">
        <f>IF(F452=0,0,G453/F452)</f>
        <v/>
      </c>
      <c r="I453" s="8">
        <f>D453-E453</f>
        <v/>
      </c>
      <c r="J453" s="4">
        <f>IF(F453&gt;C453,"Up",IF(F453&lt;C453,"Down","Flat"))</f>
        <v/>
      </c>
      <c r="K453" s="14" t="n">
        <v>20.97</v>
      </c>
      <c r="L453" s="15" t="n">
        <v>54.76</v>
      </c>
      <c r="M453" s="14" t="n">
        <v>1955.64</v>
      </c>
      <c r="N453" s="14" t="n">
        <v>1958.48</v>
      </c>
      <c r="O453" s="14" t="n">
        <v>1907.31</v>
      </c>
      <c r="P453" s="4">
        <f>IF(O453="","",IF(F453&gt;O453,"Above","Below"))</f>
        <v/>
      </c>
      <c r="Q453" s="16" t="n">
        <v>156540</v>
      </c>
      <c r="R453" s="17" t="n">
        <v>0</v>
      </c>
      <c r="S453" s="17" t="n">
        <v>0</v>
      </c>
      <c r="T453" s="17" t="n">
        <v>0</v>
      </c>
      <c r="U453" s="18" t="n">
        <v>0</v>
      </c>
    </row>
    <row r="454">
      <c r="A454" s="13" t="n">
        <v>45131</v>
      </c>
      <c r="B454" s="4">
        <f>TEXT(A454,"ddd")</f>
        <v/>
      </c>
      <c r="C454" s="14" t="n">
        <v>1963.6</v>
      </c>
      <c r="D454" s="14" t="n">
        <v>1969.8</v>
      </c>
      <c r="E454" s="14" t="n">
        <v>1955.3</v>
      </c>
      <c r="F454" s="14" t="n">
        <v>1962.2</v>
      </c>
      <c r="G454" s="9">
        <f>F454-F453</f>
        <v/>
      </c>
      <c r="H454" s="10">
        <f>IF(F453=0,0,G454/F453)</f>
        <v/>
      </c>
      <c r="I454" s="8">
        <f>D454-E454</f>
        <v/>
      </c>
      <c r="J454" s="4">
        <f>IF(F454&gt;C454,"Up",IF(F454&lt;C454,"Down","Flat"))</f>
        <v/>
      </c>
      <c r="K454" s="14" t="n">
        <v>20.51</v>
      </c>
      <c r="L454" s="15" t="n">
        <v>52.74</v>
      </c>
      <c r="M454" s="14" t="n">
        <v>1956.27</v>
      </c>
      <c r="N454" s="14" t="n">
        <v>1958.62</v>
      </c>
      <c r="O454" s="14" t="n">
        <v>1907.86</v>
      </c>
      <c r="P454" s="4">
        <f>IF(O454="","",IF(F454&gt;O454,"Above","Below"))</f>
        <v/>
      </c>
      <c r="Q454" s="16" t="n">
        <v>197213</v>
      </c>
      <c r="R454" s="17" t="n">
        <v>0</v>
      </c>
      <c r="S454" s="17" t="n">
        <v>0</v>
      </c>
      <c r="T454" s="17" t="n">
        <v>0</v>
      </c>
      <c r="U454" s="18" t="n">
        <v>0</v>
      </c>
    </row>
    <row r="455">
      <c r="A455" s="13" t="n">
        <v>45132</v>
      </c>
      <c r="B455" s="4">
        <f>TEXT(A455,"ddd")</f>
        <v/>
      </c>
      <c r="C455" s="14" t="n">
        <v>1957</v>
      </c>
      <c r="D455" s="14" t="n">
        <v>1967.1</v>
      </c>
      <c r="E455" s="14" t="n">
        <v>1951.6</v>
      </c>
      <c r="F455" s="14" t="n">
        <v>1963.7</v>
      </c>
      <c r="G455" s="9">
        <f>F455-F454</f>
        <v/>
      </c>
      <c r="H455" s="10">
        <f>IF(F454=0,0,G455/F454)</f>
        <v/>
      </c>
      <c r="I455" s="8">
        <f>D455-E455</f>
        <v/>
      </c>
      <c r="J455" s="4">
        <f>IF(F455&gt;C455,"Up",IF(F455&lt;C455,"Down","Flat"))</f>
        <v/>
      </c>
      <c r="K455" s="14" t="n">
        <v>20.15</v>
      </c>
      <c r="L455" s="15" t="n">
        <v>53.37</v>
      </c>
      <c r="M455" s="14" t="n">
        <v>1956.97</v>
      </c>
      <c r="N455" s="14" t="n">
        <v>1958.82</v>
      </c>
      <c r="O455" s="14" t="n">
        <v>1908.41</v>
      </c>
      <c r="P455" s="4">
        <f>IF(O455="","",IF(F455&gt;O455,"Above","Below"))</f>
        <v/>
      </c>
      <c r="Q455" s="16" t="n">
        <v>188848</v>
      </c>
      <c r="R455" s="17" t="n">
        <v>0</v>
      </c>
      <c r="S455" s="17" t="n">
        <v>0</v>
      </c>
      <c r="T455" s="17" t="n">
        <v>0</v>
      </c>
      <c r="U455" s="18" t="n">
        <v>0</v>
      </c>
    </row>
    <row r="456">
      <c r="A456" s="13" t="n">
        <v>45133</v>
      </c>
      <c r="B456" s="4">
        <f>TEXT(A456,"ddd")</f>
        <v/>
      </c>
      <c r="C456" s="14" t="n">
        <v>1966.3</v>
      </c>
      <c r="D456" s="14" t="n">
        <v>1979.9</v>
      </c>
      <c r="E456" s="14" t="n">
        <v>1963.2</v>
      </c>
      <c r="F456" s="14" t="n">
        <v>1970.1</v>
      </c>
      <c r="G456" s="9">
        <f>F456-F455</f>
        <v/>
      </c>
      <c r="H456" s="10">
        <f>IF(F455=0,0,G456/F455)</f>
        <v/>
      </c>
      <c r="I456" s="8">
        <f>D456-E456</f>
        <v/>
      </c>
      <c r="J456" s="4">
        <f>IF(F456&gt;C456,"Up",IF(F456&lt;C456,"Down","Flat"))</f>
        <v/>
      </c>
      <c r="K456" s="14" t="n">
        <v>19.91</v>
      </c>
      <c r="L456" s="15" t="n">
        <v>56.06</v>
      </c>
      <c r="M456" s="14" t="n">
        <v>1958.22</v>
      </c>
      <c r="N456" s="14" t="n">
        <v>1959.27</v>
      </c>
      <c r="O456" s="14" t="n">
        <v>1909.03</v>
      </c>
      <c r="P456" s="4">
        <f>IF(O456="","",IF(F456&gt;O456,"Above","Below"))</f>
        <v/>
      </c>
      <c r="Q456" s="16" t="n">
        <v>208106</v>
      </c>
      <c r="R456" s="17" t="n">
        <v>0</v>
      </c>
      <c r="S456" s="17" t="n">
        <v>0</v>
      </c>
      <c r="T456" s="17" t="n">
        <v>0</v>
      </c>
      <c r="U456" s="18" t="n">
        <v>0</v>
      </c>
    </row>
    <row r="457">
      <c r="A457" s="13" t="n">
        <v>45134</v>
      </c>
      <c r="B457" s="4">
        <f>TEXT(A457,"ddd")</f>
        <v/>
      </c>
      <c r="C457" s="14" t="n">
        <v>1973.3</v>
      </c>
      <c r="D457" s="14" t="n">
        <v>1982.6</v>
      </c>
      <c r="E457" s="14" t="n">
        <v>1941.7</v>
      </c>
      <c r="F457" s="14" t="n">
        <v>1945.7</v>
      </c>
      <c r="G457" s="9">
        <f>F457-F456</f>
        <v/>
      </c>
      <c r="H457" s="10">
        <f>IF(F456=0,0,G457/F456)</f>
        <v/>
      </c>
      <c r="I457" s="8">
        <f>D457-E457</f>
        <v/>
      </c>
      <c r="J457" s="4">
        <f>IF(F457&gt;C457,"Up",IF(F457&lt;C457,"Down","Flat"))</f>
        <v/>
      </c>
      <c r="K457" s="14" t="n">
        <v>21.41</v>
      </c>
      <c r="L457" s="15" t="n">
        <v>45.31</v>
      </c>
      <c r="M457" s="14" t="n">
        <v>1957.03</v>
      </c>
      <c r="N457" s="14" t="n">
        <v>1958.73</v>
      </c>
      <c r="O457" s="14" t="n">
        <v>1909.39</v>
      </c>
      <c r="P457" s="4">
        <f>IF(O457="","",IF(F457&gt;O457,"Above","Below"))</f>
        <v/>
      </c>
      <c r="Q457" s="16" t="n">
        <v>194253</v>
      </c>
      <c r="R457" s="17" t="n">
        <v>0</v>
      </c>
      <c r="S457" s="17" t="n">
        <v>0</v>
      </c>
      <c r="T457" s="17" t="n">
        <v>0</v>
      </c>
      <c r="U457" s="18" t="n">
        <v>0</v>
      </c>
    </row>
    <row r="458">
      <c r="A458" s="13" t="n">
        <v>45135</v>
      </c>
      <c r="B458" s="4">
        <f>TEXT(A458,"ddd")</f>
        <v/>
      </c>
      <c r="C458" s="14" t="n">
        <v>1945.5</v>
      </c>
      <c r="D458" s="14" t="n">
        <v>1962.2</v>
      </c>
      <c r="E458" s="14" t="n">
        <v>1944.2</v>
      </c>
      <c r="F458" s="14" t="n">
        <v>1960.4</v>
      </c>
      <c r="G458" s="9">
        <f>F458-F457</f>
        <v/>
      </c>
      <c r="H458" s="10">
        <f>IF(F457=0,0,G458/F457)</f>
        <v/>
      </c>
      <c r="I458" s="8">
        <f>D458-E458</f>
        <v/>
      </c>
      <c r="J458" s="4">
        <f>IF(F458&gt;C458,"Up",IF(F458&lt;C458,"Down","Flat"))</f>
        <v/>
      </c>
      <c r="K458" s="14" t="n">
        <v>21.16</v>
      </c>
      <c r="L458" s="15" t="n">
        <v>51.36</v>
      </c>
      <c r="M458" s="14" t="n">
        <v>1957.35</v>
      </c>
      <c r="N458" s="14" t="n">
        <v>1958.8</v>
      </c>
      <c r="O458" s="14" t="n">
        <v>1909.9</v>
      </c>
      <c r="P458" s="4">
        <f>IF(O458="","",IF(F458&gt;O458,"Above","Below"))</f>
        <v/>
      </c>
      <c r="Q458" s="16" t="n">
        <v>23155</v>
      </c>
      <c r="R458" s="17" t="n">
        <v>0</v>
      </c>
      <c r="S458" s="17" t="n">
        <v>0</v>
      </c>
      <c r="T458" s="17" t="n">
        <v>0</v>
      </c>
      <c r="U458" s="18" t="n">
        <v>0</v>
      </c>
    </row>
    <row r="459">
      <c r="A459" s="13" t="n">
        <v>45138</v>
      </c>
      <c r="B459" s="4">
        <f>TEXT(A459,"ddd")</f>
        <v/>
      </c>
      <c r="C459" s="14" t="n">
        <v>1959.2</v>
      </c>
      <c r="D459" s="14" t="n">
        <v>1971.6</v>
      </c>
      <c r="E459" s="14" t="n">
        <v>1950</v>
      </c>
      <c r="F459" s="14" t="n">
        <v>1970.5</v>
      </c>
      <c r="G459" s="9">
        <f>F459-F458</f>
        <v/>
      </c>
      <c r="H459" s="10">
        <f>IF(F458=0,0,G459/F458)</f>
        <v/>
      </c>
      <c r="I459" s="8">
        <f>D459-E459</f>
        <v/>
      </c>
      <c r="J459" s="4">
        <f>IF(F459&gt;C459,"Up",IF(F459&lt;C459,"Down","Flat"))</f>
        <v/>
      </c>
      <c r="K459" s="14" t="n">
        <v>21.19</v>
      </c>
      <c r="L459" s="15" t="n">
        <v>55.04</v>
      </c>
      <c r="M459" s="14" t="n">
        <v>1958.6</v>
      </c>
      <c r="N459" s="14" t="n">
        <v>1959.26</v>
      </c>
      <c r="O459" s="14" t="n">
        <v>1910.5</v>
      </c>
      <c r="P459" s="4">
        <f>IF(O459="","",IF(F459&gt;O459,"Above","Below"))</f>
        <v/>
      </c>
      <c r="Q459" s="16" t="n">
        <v>139955</v>
      </c>
      <c r="R459" s="17" t="n">
        <v>0</v>
      </c>
      <c r="S459" s="17" t="n">
        <v>0</v>
      </c>
      <c r="T459" s="17" t="n">
        <v>0</v>
      </c>
      <c r="U459" s="18" t="n">
        <v>0</v>
      </c>
    </row>
    <row r="460">
      <c r="A460" s="13" t="n">
        <v>45139</v>
      </c>
      <c r="B460" s="4">
        <f>TEXT(A460,"ddd")</f>
        <v/>
      </c>
      <c r="C460" s="14" t="n">
        <v>2004.2</v>
      </c>
      <c r="D460" s="14" t="n">
        <v>2004.4</v>
      </c>
      <c r="E460" s="14" t="n">
        <v>1978.3</v>
      </c>
      <c r="F460" s="14" t="n">
        <v>1978.8</v>
      </c>
      <c r="G460" s="9">
        <f>F460-F459</f>
        <v/>
      </c>
      <c r="H460" s="10">
        <f>IF(F459=0,0,G460/F459)</f>
        <v/>
      </c>
      <c r="I460" s="8">
        <f>D460-E460</f>
        <v/>
      </c>
      <c r="J460" s="4">
        <f>IF(F460&gt;C460,"Up",IF(F460&lt;C460,"Down","Flat"))</f>
        <v/>
      </c>
      <c r="K460" s="14" t="n">
        <v>22.1</v>
      </c>
      <c r="L460" s="15" t="n">
        <v>57.87</v>
      </c>
      <c r="M460" s="14" t="n">
        <v>1960.53</v>
      </c>
      <c r="N460" s="14" t="n">
        <v>1960.02</v>
      </c>
      <c r="O460" s="14" t="n">
        <v>1911.18</v>
      </c>
      <c r="P460" s="4">
        <f>IF(O460="","",IF(F460&gt;O460,"Above","Below"))</f>
        <v/>
      </c>
      <c r="Q460" s="16" t="n">
        <v>167756</v>
      </c>
      <c r="R460" s="17" t="n">
        <v>0</v>
      </c>
      <c r="S460" s="17" t="n">
        <v>0</v>
      </c>
      <c r="T460" s="17" t="n">
        <v>0</v>
      </c>
      <c r="U460" s="18" t="n">
        <v>0</v>
      </c>
    </row>
    <row r="461">
      <c r="A461" s="13" t="n">
        <v>45140</v>
      </c>
      <c r="B461" s="4">
        <f>TEXT(A461,"ddd")</f>
        <v/>
      </c>
      <c r="C461" s="14" t="n">
        <v>1988.9</v>
      </c>
      <c r="D461" s="14" t="n">
        <v>1992.2</v>
      </c>
      <c r="E461" s="14" t="n">
        <v>1969.1</v>
      </c>
      <c r="F461" s="14" t="n">
        <v>1975</v>
      </c>
      <c r="G461" s="9">
        <f>F461-F460</f>
        <v/>
      </c>
      <c r="H461" s="10">
        <f>IF(F460=0,0,G461/F460)</f>
        <v/>
      </c>
      <c r="I461" s="8">
        <f>D461-E461</f>
        <v/>
      </c>
      <c r="J461" s="4">
        <f>IF(F461&gt;C461,"Up",IF(F461&lt;C461,"Down","Flat"))</f>
        <v/>
      </c>
      <c r="K461" s="14" t="n">
        <v>22.17</v>
      </c>
      <c r="L461" s="15" t="n">
        <v>56.13</v>
      </c>
      <c r="M461" s="14" t="n">
        <v>1961.91</v>
      </c>
      <c r="N461" s="14" t="n">
        <v>1960.61</v>
      </c>
      <c r="O461" s="14" t="n">
        <v>1911.82</v>
      </c>
      <c r="P461" s="4">
        <f>IF(O461="","",IF(F461&gt;O461,"Above","Below"))</f>
        <v/>
      </c>
      <c r="Q461" s="16" t="n">
        <v>169658</v>
      </c>
      <c r="R461" s="17" t="n">
        <v>0</v>
      </c>
      <c r="S461" s="17" t="n">
        <v>0</v>
      </c>
      <c r="T461" s="17" t="n">
        <v>0</v>
      </c>
      <c r="U461" s="18" t="n">
        <v>0</v>
      </c>
    </row>
    <row r="462">
      <c r="A462" s="13" t="n">
        <v>45141</v>
      </c>
      <c r="B462" s="4">
        <f>TEXT(A462,"ddd")</f>
        <v/>
      </c>
      <c r="C462" s="14" t="n">
        <v>1970.8</v>
      </c>
      <c r="D462" s="14" t="n">
        <v>1974.5</v>
      </c>
      <c r="E462" s="14" t="n">
        <v>1964.5</v>
      </c>
      <c r="F462" s="14" t="n">
        <v>1968.8</v>
      </c>
      <c r="G462" s="9">
        <f>F462-F461</f>
        <v/>
      </c>
      <c r="H462" s="10">
        <f>IF(F461=0,0,G462/F461)</f>
        <v/>
      </c>
      <c r="I462" s="8">
        <f>D462-E462</f>
        <v/>
      </c>
      <c r="J462" s="4">
        <f>IF(F462&gt;C462,"Up",IF(F462&lt;C462,"Down","Flat"))</f>
        <v/>
      </c>
      <c r="K462" s="14" t="n">
        <v>21.34</v>
      </c>
      <c r="L462" s="15" t="n">
        <v>53.32</v>
      </c>
      <c r="M462" s="14" t="n">
        <v>1962.56</v>
      </c>
      <c r="N462" s="14" t="n">
        <v>1960.93</v>
      </c>
      <c r="O462" s="14" t="n">
        <v>1912.39</v>
      </c>
      <c r="P462" s="4">
        <f>IF(O462="","",IF(F462&gt;O462,"Above","Below"))</f>
        <v/>
      </c>
      <c r="Q462" s="16" t="n">
        <v>141345</v>
      </c>
      <c r="R462" s="17" t="n">
        <v>0</v>
      </c>
      <c r="S462" s="17" t="n">
        <v>0</v>
      </c>
      <c r="T462" s="17" t="n">
        <v>0</v>
      </c>
      <c r="U462" s="18" t="n">
        <v>0</v>
      </c>
    </row>
    <row r="463">
      <c r="A463" s="13" t="n">
        <v>45142</v>
      </c>
      <c r="B463" s="4">
        <f>TEXT(A463,"ddd")</f>
        <v/>
      </c>
      <c r="C463" s="14" t="n">
        <v>1969.6</v>
      </c>
      <c r="D463" s="14" t="n">
        <v>1984.2</v>
      </c>
      <c r="E463" s="14" t="n">
        <v>1954.5</v>
      </c>
      <c r="F463" s="14" t="n">
        <v>1976.1</v>
      </c>
      <c r="G463" s="9">
        <f>F463-F462</f>
        <v/>
      </c>
      <c r="H463" s="10">
        <f>IF(F462=0,0,G463/F462)</f>
        <v/>
      </c>
      <c r="I463" s="8">
        <f>D463-E463</f>
        <v/>
      </c>
      <c r="J463" s="4">
        <f>IF(F463&gt;C463,"Up",IF(F463&lt;C463,"Down","Flat"))</f>
        <v/>
      </c>
      <c r="K463" s="14" t="n">
        <v>21.94</v>
      </c>
      <c r="L463" s="15" t="n">
        <v>56.11</v>
      </c>
      <c r="M463" s="14" t="n">
        <v>1963.85</v>
      </c>
      <c r="N463" s="14" t="n">
        <v>1961.53</v>
      </c>
      <c r="O463" s="14" t="n">
        <v>1913.02</v>
      </c>
      <c r="P463" s="4">
        <f>IF(O463="","",IF(F463&gt;O463,"Above","Below"))</f>
        <v/>
      </c>
      <c r="Q463" s="16" t="n">
        <v>156416</v>
      </c>
      <c r="R463" s="17" t="n">
        <v>0</v>
      </c>
      <c r="S463" s="17" t="n">
        <v>0</v>
      </c>
      <c r="T463" s="17" t="n">
        <v>0</v>
      </c>
      <c r="U463" s="18" t="n">
        <v>0</v>
      </c>
    </row>
    <row r="464">
      <c r="A464" s="13" t="n">
        <v>45145</v>
      </c>
      <c r="B464" s="4">
        <f>TEXT(A464,"ddd")</f>
        <v/>
      </c>
      <c r="C464" s="14" t="n">
        <v>1977.6</v>
      </c>
      <c r="D464" s="14" t="n">
        <v>1981.7</v>
      </c>
      <c r="E464" s="14" t="n">
        <v>1966.1</v>
      </c>
      <c r="F464" s="14" t="n">
        <v>1970</v>
      </c>
      <c r="G464" s="9">
        <f>F464-F463</f>
        <v/>
      </c>
      <c r="H464" s="10">
        <f>IF(F463=0,0,G464/F463)</f>
        <v/>
      </c>
      <c r="I464" s="8">
        <f>D464-E464</f>
        <v/>
      </c>
      <c r="J464" s="4">
        <f>IF(F464&gt;C464,"Up",IF(F464&lt;C464,"Down","Flat"))</f>
        <v/>
      </c>
      <c r="K464" s="14" t="n">
        <v>21.48</v>
      </c>
      <c r="L464" s="15" t="n">
        <v>53.24</v>
      </c>
      <c r="M464" s="14" t="n">
        <v>1964.44</v>
      </c>
      <c r="N464" s="14" t="n">
        <v>1961.86</v>
      </c>
      <c r="O464" s="14" t="n">
        <v>1913.59</v>
      </c>
      <c r="P464" s="4">
        <f>IF(O464="","",IF(F464&gt;O464,"Above","Below"))</f>
        <v/>
      </c>
      <c r="Q464" s="16" t="n">
        <v>104407</v>
      </c>
      <c r="R464" s="17" t="n">
        <v>0</v>
      </c>
      <c r="S464" s="17" t="n">
        <v>0</v>
      </c>
      <c r="T464" s="17" t="n">
        <v>0</v>
      </c>
      <c r="U464" s="18" t="n">
        <v>0</v>
      </c>
    </row>
    <row r="465">
      <c r="A465" s="13" t="n">
        <v>45146</v>
      </c>
      <c r="B465" s="4">
        <f>TEXT(A465,"ddd")</f>
        <v/>
      </c>
      <c r="C465" s="14" t="n">
        <v>1971.5</v>
      </c>
      <c r="D465" s="14" t="n">
        <v>1972.8</v>
      </c>
      <c r="E465" s="14" t="n">
        <v>1956.5</v>
      </c>
      <c r="F465" s="14" t="n">
        <v>1959.9</v>
      </c>
      <c r="G465" s="9">
        <f>F465-F464</f>
        <v/>
      </c>
      <c r="H465" s="10">
        <f>IF(F464=0,0,G465/F464)</f>
        <v/>
      </c>
      <c r="I465" s="8">
        <f>D465-E465</f>
        <v/>
      </c>
      <c r="J465" s="4">
        <f>IF(F465&gt;C465,"Up",IF(F465&lt;C465,"Down","Flat"))</f>
        <v/>
      </c>
      <c r="K465" s="14" t="n">
        <v>21.11</v>
      </c>
      <c r="L465" s="15" t="n">
        <v>48.8</v>
      </c>
      <c r="M465" s="14" t="n">
        <v>1964.01</v>
      </c>
      <c r="N465" s="14" t="n">
        <v>1961.78</v>
      </c>
      <c r="O465" s="14" t="n">
        <v>1914.05</v>
      </c>
      <c r="P465" s="4">
        <f>IF(O465="","",IF(F465&gt;O465,"Above","Below"))</f>
        <v/>
      </c>
      <c r="Q465" s="16" t="n">
        <v>142336</v>
      </c>
      <c r="R465" s="17" t="n">
        <v>0</v>
      </c>
      <c r="S465" s="17" t="n">
        <v>0</v>
      </c>
      <c r="T465" s="17" t="n">
        <v>0</v>
      </c>
      <c r="U465" s="18" t="n">
        <v>0</v>
      </c>
    </row>
    <row r="466">
      <c r="A466" s="13" t="n">
        <v>45147</v>
      </c>
      <c r="B466" s="4">
        <f>TEXT(A466,"ddd")</f>
        <v/>
      </c>
      <c r="C466" s="14" t="n">
        <v>1959.3</v>
      </c>
      <c r="D466" s="14" t="n">
        <v>1966.1</v>
      </c>
      <c r="E466" s="14" t="n">
        <v>1947.2</v>
      </c>
      <c r="F466" s="14" t="n">
        <v>1950.6</v>
      </c>
      <c r="G466" s="9">
        <f>F466-F465</f>
        <v/>
      </c>
      <c r="H466" s="10">
        <f>IF(F465=0,0,G466/F465)</f>
        <v/>
      </c>
      <c r="I466" s="8">
        <f>D466-E466</f>
        <v/>
      </c>
      <c r="J466" s="4">
        <f>IF(F466&gt;C466,"Up",IF(F466&lt;C466,"Down","Flat"))</f>
        <v/>
      </c>
      <c r="K466" s="14" t="n">
        <v>20.96</v>
      </c>
      <c r="L466" s="15" t="n">
        <v>45.08</v>
      </c>
      <c r="M466" s="14" t="n">
        <v>1962.73</v>
      </c>
      <c r="N466" s="14" t="n">
        <v>1961.34</v>
      </c>
      <c r="O466" s="14" t="n">
        <v>1914.41</v>
      </c>
      <c r="P466" s="4">
        <f>IF(O466="","",IF(F466&gt;O466,"Above","Below"))</f>
        <v/>
      </c>
      <c r="Q466" s="16" t="n">
        <v>139259</v>
      </c>
      <c r="R466" s="17" t="n">
        <v>0</v>
      </c>
      <c r="S466" s="17" t="n">
        <v>0</v>
      </c>
      <c r="T466" s="17" t="n">
        <v>0</v>
      </c>
      <c r="U466" s="18" t="n">
        <v>0</v>
      </c>
    </row>
    <row r="467">
      <c r="A467" s="13" t="n">
        <v>45148</v>
      </c>
      <c r="B467" s="4">
        <f>TEXT(A467,"ddd")</f>
        <v/>
      </c>
      <c r="C467" s="14" t="n">
        <v>1947.7</v>
      </c>
      <c r="D467" s="14" t="n">
        <v>1963.5</v>
      </c>
      <c r="E467" s="14" t="n">
        <v>1944.4</v>
      </c>
      <c r="F467" s="14" t="n">
        <v>1948.9</v>
      </c>
      <c r="G467" s="9">
        <f>F467-F466</f>
        <v/>
      </c>
      <c r="H467" s="10">
        <f>IF(F466=0,0,G467/F466)</f>
        <v/>
      </c>
      <c r="I467" s="8">
        <f>D467-E467</f>
        <v/>
      </c>
      <c r="J467" s="4">
        <f>IF(F467&gt;C467,"Up",IF(F467&lt;C467,"Down","Flat"))</f>
        <v/>
      </c>
      <c r="K467" s="14" t="n">
        <v>20.82</v>
      </c>
      <c r="L467" s="15" t="n">
        <v>44.41</v>
      </c>
      <c r="M467" s="14" t="n">
        <v>1961.41</v>
      </c>
      <c r="N467" s="14" t="n">
        <v>1960.86</v>
      </c>
      <c r="O467" s="14" t="n">
        <v>1914.75</v>
      </c>
      <c r="P467" s="4">
        <f>IF(O467="","",IF(F467&gt;O467,"Above","Below"))</f>
        <v/>
      </c>
      <c r="Q467" s="16" t="n">
        <v>168264</v>
      </c>
      <c r="R467" s="17" t="n">
        <v>0</v>
      </c>
      <c r="S467" s="17" t="n">
        <v>0</v>
      </c>
      <c r="T467" s="17" t="n">
        <v>0</v>
      </c>
      <c r="U467" s="18" t="n">
        <v>0</v>
      </c>
    </row>
    <row r="468">
      <c r="A468" s="13" t="n">
        <v>45149</v>
      </c>
      <c r="B468" s="4">
        <f>TEXT(A468,"ddd")</f>
        <v/>
      </c>
      <c r="C468" s="14" t="n">
        <v>1944.9</v>
      </c>
      <c r="D468" s="14" t="n">
        <v>1953.6</v>
      </c>
      <c r="E468" s="14" t="n">
        <v>1942.7</v>
      </c>
      <c r="F468" s="14" t="n">
        <v>1946.6</v>
      </c>
      <c r="G468" s="9">
        <f>F468-F467</f>
        <v/>
      </c>
      <c r="H468" s="10">
        <f>IF(F467=0,0,G468/F467)</f>
        <v/>
      </c>
      <c r="I468" s="8">
        <f>D468-E468</f>
        <v/>
      </c>
      <c r="J468" s="4">
        <f>IF(F468&gt;C468,"Up",IF(F468&lt;C468,"Down","Flat"))</f>
        <v/>
      </c>
      <c r="K468" s="14" t="n">
        <v>20.11</v>
      </c>
      <c r="L468" s="15" t="n">
        <v>43.47</v>
      </c>
      <c r="M468" s="14" t="n">
        <v>1960</v>
      </c>
      <c r="N468" s="14" t="n">
        <v>1960.3</v>
      </c>
      <c r="O468" s="14" t="n">
        <v>1915.07</v>
      </c>
      <c r="P468" s="4">
        <f>IF(O468="","",IF(F468&gt;O468,"Above","Below"))</f>
        <v/>
      </c>
      <c r="Q468" s="16" t="n">
        <v>122320</v>
      </c>
      <c r="R468" s="17" t="n">
        <v>0</v>
      </c>
      <c r="S468" s="17" t="n">
        <v>0</v>
      </c>
      <c r="T468" s="17" t="n">
        <v>0</v>
      </c>
      <c r="U468" s="18" t="n">
        <v>0</v>
      </c>
    </row>
    <row r="469">
      <c r="A469" s="13" t="n">
        <v>45152</v>
      </c>
      <c r="B469" s="4">
        <f>TEXT(A469,"ddd")</f>
        <v/>
      </c>
      <c r="C469" s="14" t="n">
        <v>1945.6</v>
      </c>
      <c r="D469" s="14" t="n">
        <v>1948.2</v>
      </c>
      <c r="E469" s="14" t="n">
        <v>1934.2</v>
      </c>
      <c r="F469" s="14" t="n">
        <v>1944</v>
      </c>
      <c r="G469" s="9">
        <f>F469-F468</f>
        <v/>
      </c>
      <c r="H469" s="10">
        <f>IF(F468=0,0,G469/F468)</f>
        <v/>
      </c>
      <c r="I469" s="8">
        <f>D469-E469</f>
        <v/>
      </c>
      <c r="J469" s="4">
        <f>IF(F469&gt;C469,"Up",IF(F469&lt;C469,"Down","Flat"))</f>
        <v/>
      </c>
      <c r="K469" s="14" t="n">
        <v>19.68</v>
      </c>
      <c r="L469" s="15" t="n">
        <v>42.38</v>
      </c>
      <c r="M469" s="14" t="n">
        <v>1958.48</v>
      </c>
      <c r="N469" s="14" t="n">
        <v>1959.66</v>
      </c>
      <c r="O469" s="14" t="n">
        <v>1915.36</v>
      </c>
      <c r="P469" s="4">
        <f>IF(O469="","",IF(F469&gt;O469,"Above","Below"))</f>
        <v/>
      </c>
      <c r="Q469" s="16" t="n">
        <v>120983</v>
      </c>
      <c r="R469" s="17" t="n">
        <v>0</v>
      </c>
      <c r="S469" s="17" t="n">
        <v>0</v>
      </c>
      <c r="T469" s="17" t="n">
        <v>0</v>
      </c>
      <c r="U469" s="18" t="n">
        <v>0</v>
      </c>
    </row>
    <row r="470">
      <c r="A470" s="13" t="n">
        <v>45153</v>
      </c>
      <c r="B470" s="4">
        <f>TEXT(A470,"ddd")</f>
        <v/>
      </c>
      <c r="C470" s="14" t="n">
        <v>1939.4</v>
      </c>
      <c r="D470" s="14" t="n">
        <v>1944.3</v>
      </c>
      <c r="E470" s="14" t="n">
        <v>1927.5</v>
      </c>
      <c r="F470" s="14" t="n">
        <v>1935.2</v>
      </c>
      <c r="G470" s="9">
        <f>F470-F469</f>
        <v/>
      </c>
      <c r="H470" s="10">
        <f>IF(F469=0,0,G470/F469)</f>
        <v/>
      </c>
      <c r="I470" s="8">
        <f>D470-E470</f>
        <v/>
      </c>
      <c r="J470" s="4">
        <f>IF(F470&gt;C470,"Up",IF(F470&lt;C470,"Down","Flat"))</f>
        <v/>
      </c>
      <c r="K470" s="14" t="n">
        <v>19.47</v>
      </c>
      <c r="L470" s="15" t="n">
        <v>38.83</v>
      </c>
      <c r="M470" s="14" t="n">
        <v>1956.26</v>
      </c>
      <c r="N470" s="14" t="n">
        <v>1958.7</v>
      </c>
      <c r="O470" s="14" t="n">
        <v>1915.56</v>
      </c>
      <c r="P470" s="4">
        <f>IF(O470="","",IF(F470&gt;O470,"Above","Below"))</f>
        <v/>
      </c>
      <c r="Q470" s="16" t="n">
        <v>167153</v>
      </c>
      <c r="R470" s="17" t="n">
        <v>0</v>
      </c>
      <c r="S470" s="17" t="n">
        <v>0</v>
      </c>
      <c r="T470" s="17" t="n">
        <v>0</v>
      </c>
      <c r="U470" s="18" t="n">
        <v>0</v>
      </c>
    </row>
    <row r="471">
      <c r="A471" s="13" t="n">
        <v>45154</v>
      </c>
      <c r="B471" s="4">
        <f>TEXT(A471,"ddd")</f>
        <v/>
      </c>
      <c r="C471" s="14" t="n">
        <v>1933.1</v>
      </c>
      <c r="D471" s="14" t="n">
        <v>1938.2</v>
      </c>
      <c r="E471" s="14" t="n">
        <v>1922</v>
      </c>
      <c r="F471" s="14" t="n">
        <v>1928.3</v>
      </c>
      <c r="G471" s="9">
        <f>F471-F470</f>
        <v/>
      </c>
      <c r="H471" s="10">
        <f>IF(F470=0,0,G471/F470)</f>
        <v/>
      </c>
      <c r="I471" s="8">
        <f>D471-E471</f>
        <v/>
      </c>
      <c r="J471" s="4">
        <f>IF(F471&gt;C471,"Up",IF(F471&lt;C471,"Down","Flat"))</f>
        <v/>
      </c>
      <c r="K471" s="14" t="n">
        <v>19.24</v>
      </c>
      <c r="L471" s="15" t="n">
        <v>36.27</v>
      </c>
      <c r="M471" s="14" t="n">
        <v>1953.6</v>
      </c>
      <c r="N471" s="14" t="n">
        <v>1957.51</v>
      </c>
      <c r="O471" s="14" t="n">
        <v>1915.68</v>
      </c>
      <c r="P471" s="4">
        <f>IF(O471="","",IF(F471&gt;O471,"Above","Below"))</f>
        <v/>
      </c>
      <c r="Q471" s="16" t="n">
        <v>128612</v>
      </c>
      <c r="R471" s="17" t="n">
        <v>0</v>
      </c>
      <c r="S471" s="17" t="n">
        <v>0</v>
      </c>
      <c r="T471" s="17" t="n">
        <v>0</v>
      </c>
      <c r="U471" s="18" t="n">
        <v>0</v>
      </c>
    </row>
    <row r="472">
      <c r="A472" s="13" t="n">
        <v>45155</v>
      </c>
      <c r="B472" s="4">
        <f>TEXT(A472,"ddd")</f>
        <v/>
      </c>
      <c r="C472" s="14" t="n">
        <v>1922.4</v>
      </c>
      <c r="D472" s="14" t="n">
        <v>1933.5</v>
      </c>
      <c r="E472" s="14" t="n">
        <v>1914.2</v>
      </c>
      <c r="F472" s="14" t="n">
        <v>1915.2</v>
      </c>
      <c r="G472" s="9">
        <f>F472-F471</f>
        <v/>
      </c>
      <c r="H472" s="10">
        <f>IF(F471=0,0,G472/F471)</f>
        <v/>
      </c>
      <c r="I472" s="8">
        <f>D472-E472</f>
        <v/>
      </c>
      <c r="J472" s="4">
        <f>IF(F472&gt;C472,"Up",IF(F472&lt;C472,"Down","Flat"))</f>
        <v/>
      </c>
      <c r="K472" s="14" t="n">
        <v>19.24</v>
      </c>
      <c r="L472" s="15" t="n">
        <v>31.95</v>
      </c>
      <c r="M472" s="14" t="n">
        <v>1949.94</v>
      </c>
      <c r="N472" s="14" t="n">
        <v>1955.85</v>
      </c>
      <c r="O472" s="14" t="n">
        <v>1915.68</v>
      </c>
      <c r="P472" s="4">
        <f>IF(O472="","",IF(F472&gt;O472,"Above","Below"))</f>
        <v/>
      </c>
      <c r="Q472" s="16" t="n">
        <v>152329</v>
      </c>
      <c r="R472" s="17" t="n">
        <v>0</v>
      </c>
      <c r="S472" s="17" t="n">
        <v>0</v>
      </c>
      <c r="T472" s="17" t="n">
        <v>0</v>
      </c>
      <c r="U472" s="18" t="n">
        <v>0</v>
      </c>
    </row>
    <row r="473">
      <c r="A473" s="13" t="n">
        <v>45156</v>
      </c>
      <c r="B473" s="4">
        <f>TEXT(A473,"ddd")</f>
        <v/>
      </c>
      <c r="C473" s="14" t="n">
        <v>1919.2</v>
      </c>
      <c r="D473" s="14" t="n">
        <v>1926</v>
      </c>
      <c r="E473" s="14" t="n">
        <v>1915.9</v>
      </c>
      <c r="F473" s="14" t="n">
        <v>1916.5</v>
      </c>
      <c r="G473" s="9">
        <f>F473-F472</f>
        <v/>
      </c>
      <c r="H473" s="10">
        <f>IF(F472=0,0,G473/F472)</f>
        <v/>
      </c>
      <c r="I473" s="8">
        <f>D473-E473</f>
        <v/>
      </c>
      <c r="J473" s="4">
        <f>IF(F473&gt;C473,"Up",IF(F473&lt;C473,"Down","Flat"))</f>
        <v/>
      </c>
      <c r="K473" s="14" t="n">
        <v>18.64</v>
      </c>
      <c r="L473" s="15" t="n">
        <v>32.81</v>
      </c>
      <c r="M473" s="14" t="n">
        <v>1946.76</v>
      </c>
      <c r="N473" s="14" t="n">
        <v>1954.3</v>
      </c>
      <c r="O473" s="14" t="n">
        <v>1915.69</v>
      </c>
      <c r="P473" s="4">
        <f>IF(O473="","",IF(F473&gt;O473,"Above","Below"))</f>
        <v/>
      </c>
      <c r="Q473" s="16" t="n">
        <v>114737</v>
      </c>
      <c r="R473" s="17" t="n">
        <v>0</v>
      </c>
      <c r="S473" s="17" t="n">
        <v>0</v>
      </c>
      <c r="T473" s="17" t="n">
        <v>0</v>
      </c>
      <c r="U473" s="18" t="n">
        <v>0</v>
      </c>
    </row>
    <row r="474">
      <c r="A474" s="13" t="n">
        <v>45159</v>
      </c>
      <c r="B474" s="4">
        <f>TEXT(A474,"ddd")</f>
        <v/>
      </c>
      <c r="C474" s="14" t="n">
        <v>1918.4</v>
      </c>
      <c r="D474" s="14" t="n">
        <v>1927.9</v>
      </c>
      <c r="E474" s="14" t="n">
        <v>1913.6</v>
      </c>
      <c r="F474" s="14" t="n">
        <v>1923</v>
      </c>
      <c r="G474" s="9">
        <f>F474-F473</f>
        <v/>
      </c>
      <c r="H474" s="10">
        <f>IF(F473=0,0,G474/F473)</f>
        <v/>
      </c>
      <c r="I474" s="8">
        <f>D474-E474</f>
        <v/>
      </c>
      <c r="J474" s="4">
        <f>IF(F474&gt;C474,"Up",IF(F474&lt;C474,"Down","Flat"))</f>
        <v/>
      </c>
      <c r="K474" s="14" t="n">
        <v>18.33</v>
      </c>
      <c r="L474" s="15" t="n">
        <v>37.06</v>
      </c>
      <c r="M474" s="14" t="n">
        <v>1944.49</v>
      </c>
      <c r="N474" s="14" t="n">
        <v>1953.08</v>
      </c>
      <c r="O474" s="14" t="n">
        <v>1915.76</v>
      </c>
      <c r="P474" s="4">
        <f>IF(O474="","",IF(F474&gt;O474,"Above","Below"))</f>
        <v/>
      </c>
      <c r="Q474" s="16" t="n">
        <v>138109</v>
      </c>
      <c r="R474" s="17" t="n">
        <v>0</v>
      </c>
      <c r="S474" s="17" t="n">
        <v>0</v>
      </c>
      <c r="T474" s="17" t="n">
        <v>0</v>
      </c>
      <c r="U474" s="18" t="n">
        <v>0</v>
      </c>
    </row>
    <row r="475">
      <c r="A475" s="13" t="n">
        <v>45160</v>
      </c>
      <c r="B475" s="4">
        <f>TEXT(A475,"ddd")</f>
        <v/>
      </c>
      <c r="C475" s="14" t="n">
        <v>1924</v>
      </c>
      <c r="D475" s="14" t="n">
        <v>1933.2</v>
      </c>
      <c r="E475" s="14" t="n">
        <v>1917.5</v>
      </c>
      <c r="F475" s="14" t="n">
        <v>1926</v>
      </c>
      <c r="G475" s="9">
        <f>F475-F474</f>
        <v/>
      </c>
      <c r="H475" s="10">
        <f>IF(F474=0,0,G475/F474)</f>
        <v/>
      </c>
      <c r="I475" s="8">
        <f>D475-E475</f>
        <v/>
      </c>
      <c r="J475" s="4">
        <f>IF(F475&gt;C475,"Up",IF(F475&lt;C475,"Down","Flat"))</f>
        <v/>
      </c>
      <c r="K475" s="14" t="n">
        <v>18.14</v>
      </c>
      <c r="L475" s="15" t="n">
        <v>38.98</v>
      </c>
      <c r="M475" s="14" t="n">
        <v>1942.73</v>
      </c>
      <c r="N475" s="14" t="n">
        <v>1952.02</v>
      </c>
      <c r="O475" s="14" t="n">
        <v>1915.86</v>
      </c>
      <c r="P475" s="4">
        <f>IF(O475="","",IF(F475&gt;O475,"Above","Below"))</f>
        <v/>
      </c>
      <c r="Q475" s="16" t="n">
        <v>131088</v>
      </c>
      <c r="R475" s="17" t="n">
        <v>0</v>
      </c>
      <c r="S475" s="17" t="n">
        <v>0</v>
      </c>
      <c r="T475" s="17" t="n">
        <v>0</v>
      </c>
      <c r="U475" s="18" t="n">
        <v>0</v>
      </c>
    </row>
    <row r="476">
      <c r="A476" s="13" t="n">
        <v>45161</v>
      </c>
      <c r="B476" s="4">
        <f>TEXT(A476,"ddd")</f>
        <v/>
      </c>
      <c r="C476" s="14" t="n">
        <v>1926.8</v>
      </c>
      <c r="D476" s="14" t="n">
        <v>1949.7</v>
      </c>
      <c r="E476" s="14" t="n">
        <v>1926.2</v>
      </c>
      <c r="F476" s="14" t="n">
        <v>1948.1</v>
      </c>
      <c r="G476" s="9">
        <f>F476-F475</f>
        <v/>
      </c>
      <c r="H476" s="10">
        <f>IF(F475=0,0,G476/F475)</f>
        <v/>
      </c>
      <c r="I476" s="8">
        <f>D476-E476</f>
        <v/>
      </c>
      <c r="J476" s="4">
        <f>IF(F476&gt;C476,"Up",IF(F476&lt;C476,"Down","Flat"))</f>
        <v/>
      </c>
      <c r="K476" s="14" t="n">
        <v>18.54</v>
      </c>
      <c r="L476" s="15" t="n">
        <v>50.87</v>
      </c>
      <c r="M476" s="14" t="n">
        <v>1943.24</v>
      </c>
      <c r="N476" s="14" t="n">
        <v>1951.86</v>
      </c>
      <c r="O476" s="14" t="n">
        <v>1916.18</v>
      </c>
      <c r="P476" s="4">
        <f>IF(O476="","",IF(F476&gt;O476,"Above","Below"))</f>
        <v/>
      </c>
      <c r="Q476" s="16" t="n">
        <v>170040</v>
      </c>
      <c r="R476" s="17" t="n">
        <v>0</v>
      </c>
      <c r="S476" s="17" t="n">
        <v>0</v>
      </c>
      <c r="T476" s="17" t="n">
        <v>0</v>
      </c>
      <c r="U476" s="18" t="n">
        <v>0</v>
      </c>
    </row>
    <row r="477">
      <c r="A477" s="13" t="n">
        <v>45162</v>
      </c>
      <c r="B477" s="4">
        <f>TEXT(A477,"ddd")</f>
        <v/>
      </c>
      <c r="C477" s="14" t="n">
        <v>1944.9</v>
      </c>
      <c r="D477" s="14" t="n">
        <v>1951.3</v>
      </c>
      <c r="E477" s="14" t="n">
        <v>1939.2</v>
      </c>
      <c r="F477" s="14" t="n">
        <v>1947.1</v>
      </c>
      <c r="G477" s="9">
        <f>F477-F476</f>
        <v/>
      </c>
      <c r="H477" s="10">
        <f>IF(F476=0,0,G477/F476)</f>
        <v/>
      </c>
      <c r="I477" s="8">
        <f>D477-E477</f>
        <v/>
      </c>
      <c r="J477" s="4">
        <f>IF(F477&gt;C477,"Up",IF(F477&lt;C477,"Down","Flat"))</f>
        <v/>
      </c>
      <c r="K477" s="14" t="n">
        <v>18.08</v>
      </c>
      <c r="L477" s="15" t="n">
        <v>50.39</v>
      </c>
      <c r="M477" s="14" t="n">
        <v>1943.61</v>
      </c>
      <c r="N477" s="14" t="n">
        <v>1951.67</v>
      </c>
      <c r="O477" s="14" t="n">
        <v>1916.49</v>
      </c>
      <c r="P477" s="4">
        <f>IF(O477="","",IF(F477&gt;O477,"Above","Below"))</f>
        <v/>
      </c>
      <c r="Q477" s="16" t="n">
        <v>137393</v>
      </c>
      <c r="R477" s="17" t="n">
        <v>0</v>
      </c>
      <c r="S477" s="17" t="n">
        <v>0</v>
      </c>
      <c r="T477" s="17" t="n">
        <v>0</v>
      </c>
      <c r="U477" s="18" t="n">
        <v>0</v>
      </c>
    </row>
    <row r="478">
      <c r="A478" s="13" t="n">
        <v>45163</v>
      </c>
      <c r="B478" s="4">
        <f>TEXT(A478,"ddd")</f>
        <v/>
      </c>
      <c r="C478" s="14" t="n">
        <v>1944.9</v>
      </c>
      <c r="D478" s="14" t="n">
        <v>1950.4</v>
      </c>
      <c r="E478" s="14" t="n">
        <v>1931</v>
      </c>
      <c r="F478" s="14" t="n">
        <v>1939.9</v>
      </c>
      <c r="G478" s="9">
        <f>F478-F477</f>
        <v/>
      </c>
      <c r="H478" s="10">
        <f>IF(F477=0,0,G478/F477)</f>
        <v/>
      </c>
      <c r="I478" s="8">
        <f>D478-E478</f>
        <v/>
      </c>
      <c r="J478" s="4">
        <f>IF(F478&gt;C478,"Up",IF(F478&lt;C478,"Down","Flat"))</f>
        <v/>
      </c>
      <c r="K478" s="14" t="n">
        <v>18.17</v>
      </c>
      <c r="L478" s="15" t="n">
        <v>46.97</v>
      </c>
      <c r="M478" s="14" t="n">
        <v>1943.26</v>
      </c>
      <c r="N478" s="14" t="n">
        <v>1951.21</v>
      </c>
      <c r="O478" s="14" t="n">
        <v>1916.72</v>
      </c>
      <c r="P478" s="4">
        <f>IF(O478="","",IF(F478&gt;O478,"Above","Below"))</f>
        <v/>
      </c>
      <c r="Q478" s="16" t="n">
        <v>166988</v>
      </c>
      <c r="R478" s="17" t="n">
        <v>0</v>
      </c>
      <c r="S478" s="17" t="n">
        <v>0</v>
      </c>
      <c r="T478" s="17" t="n">
        <v>0</v>
      </c>
      <c r="U478" s="18" t="n">
        <v>0</v>
      </c>
    </row>
    <row r="479">
      <c r="A479" s="13" t="n">
        <v>45166</v>
      </c>
      <c r="B479" s="4">
        <f>TEXT(A479,"ddd")</f>
        <v/>
      </c>
      <c r="C479" s="14" t="n">
        <v>1944</v>
      </c>
      <c r="D479" s="14" t="n">
        <v>1954.2</v>
      </c>
      <c r="E479" s="14" t="n">
        <v>1940.1</v>
      </c>
      <c r="F479" s="14" t="n">
        <v>1946.8</v>
      </c>
      <c r="G479" s="9">
        <f>F479-F478</f>
        <v/>
      </c>
      <c r="H479" s="10">
        <f>IF(F478=0,0,G479/F478)</f>
        <v/>
      </c>
      <c r="I479" s="8">
        <f>D479-E479</f>
        <v/>
      </c>
      <c r="J479" s="4">
        <f>IF(F479&gt;C479,"Up",IF(F479&lt;C479,"Down","Flat"))</f>
        <v/>
      </c>
      <c r="K479" s="14" t="n">
        <v>17.9</v>
      </c>
      <c r="L479" s="15" t="n">
        <v>50.45</v>
      </c>
      <c r="M479" s="14" t="n">
        <v>1943.59</v>
      </c>
      <c r="N479" s="14" t="n">
        <v>1951.04</v>
      </c>
      <c r="O479" s="14" t="n">
        <v>1917.02</v>
      </c>
      <c r="P479" s="4">
        <f>IF(O479="","",IF(F479&gt;O479,"Above","Below"))</f>
        <v/>
      </c>
      <c r="Q479" s="16" t="n">
        <v>115553</v>
      </c>
      <c r="R479" s="17" t="n">
        <v>0</v>
      </c>
      <c r="S479" s="17" t="n">
        <v>0</v>
      </c>
      <c r="T479" s="17" t="n">
        <v>0</v>
      </c>
      <c r="U479" s="18" t="n">
        <v>0</v>
      </c>
    </row>
    <row r="480">
      <c r="A480" s="13" t="n">
        <v>45167</v>
      </c>
      <c r="B480" s="4">
        <f>TEXT(A480,"ddd")</f>
        <v/>
      </c>
      <c r="C480" s="14" t="n">
        <v>1948.1</v>
      </c>
      <c r="D480" s="14" t="n">
        <v>1966.5</v>
      </c>
      <c r="E480" s="14" t="n">
        <v>1941.7</v>
      </c>
      <c r="F480" s="14" t="n">
        <v>1965.1</v>
      </c>
      <c r="G480" s="9">
        <f>F480-F479</f>
        <v/>
      </c>
      <c r="H480" s="10">
        <f>IF(F479=0,0,G480/F479)</f>
        <v/>
      </c>
      <c r="I480" s="8">
        <f>D480-E480</f>
        <v/>
      </c>
      <c r="J480" s="4">
        <f>IF(F480&gt;C480,"Up",IF(F480&lt;C480,"Down","Flat"))</f>
        <v/>
      </c>
      <c r="K480" s="14" t="n">
        <v>18.39</v>
      </c>
      <c r="L480" s="15" t="n">
        <v>58.26</v>
      </c>
      <c r="M480" s="14" t="n">
        <v>1945.64</v>
      </c>
      <c r="N480" s="14" t="n">
        <v>1951.59</v>
      </c>
      <c r="O480" s="14" t="n">
        <v>1917.5</v>
      </c>
      <c r="P480" s="4">
        <f>IF(O480="","",IF(F480&gt;O480,"Above","Below"))</f>
        <v/>
      </c>
      <c r="Q480" s="16" t="n">
        <v>174220</v>
      </c>
      <c r="R480" s="17" t="n">
        <v>0</v>
      </c>
      <c r="S480" s="17" t="n">
        <v>0</v>
      </c>
      <c r="T480" s="17" t="n">
        <v>0</v>
      </c>
      <c r="U480" s="18" t="n">
        <v>0</v>
      </c>
    </row>
    <row r="481">
      <c r="A481" s="13" t="n">
        <v>45168</v>
      </c>
      <c r="B481" s="4">
        <f>TEXT(A481,"ddd")</f>
        <v/>
      </c>
      <c r="C481" s="14" t="n">
        <v>1966</v>
      </c>
      <c r="D481" s="14" t="n">
        <v>1977.1</v>
      </c>
      <c r="E481" s="14" t="n">
        <v>1962.8</v>
      </c>
      <c r="F481" s="14" t="n">
        <v>1973</v>
      </c>
      <c r="G481" s="9">
        <f>F481-F480</f>
        <v/>
      </c>
      <c r="H481" s="10">
        <f>IF(F480=0,0,G481/F480)</f>
        <v/>
      </c>
      <c r="I481" s="8">
        <f>D481-E481</f>
        <v/>
      </c>
      <c r="J481" s="4">
        <f>IF(F481&gt;C481,"Up",IF(F481&lt;C481,"Down","Flat"))</f>
        <v/>
      </c>
      <c r="K481" s="14" t="n">
        <v>18.1</v>
      </c>
      <c r="L481" s="15" t="n">
        <v>61.11</v>
      </c>
      <c r="M481" s="14" t="n">
        <v>1948.25</v>
      </c>
      <c r="N481" s="14" t="n">
        <v>1952.43</v>
      </c>
      <c r="O481" s="14" t="n">
        <v>1918.05</v>
      </c>
      <c r="P481" s="4">
        <f>IF(O481="","",IF(F481&gt;O481,"Above","Below"))</f>
        <v/>
      </c>
      <c r="Q481" s="16" t="n">
        <v>142380</v>
      </c>
      <c r="R481" s="17" t="n">
        <v>0</v>
      </c>
      <c r="S481" s="17" t="n">
        <v>0</v>
      </c>
      <c r="T481" s="17" t="n">
        <v>0</v>
      </c>
      <c r="U481" s="18" t="n">
        <v>0</v>
      </c>
    </row>
    <row r="482">
      <c r="A482" s="13" t="n">
        <v>45169</v>
      </c>
      <c r="B482" s="4">
        <f>TEXT(A482,"ddd")</f>
        <v/>
      </c>
      <c r="C482" s="14" t="n">
        <v>1970.2</v>
      </c>
      <c r="D482" s="14" t="n">
        <v>1974.9</v>
      </c>
      <c r="E482" s="14" t="n">
        <v>1965.5</v>
      </c>
      <c r="F482" s="14" t="n">
        <v>1965.9</v>
      </c>
      <c r="G482" s="9">
        <f>F482-F481</f>
        <v/>
      </c>
      <c r="H482" s="10">
        <f>IF(F481=0,0,G482/F481)</f>
        <v/>
      </c>
      <c r="I482" s="8">
        <f>D482-E482</f>
        <v/>
      </c>
      <c r="J482" s="4">
        <f>IF(F482&gt;C482,"Up",IF(F482&lt;C482,"Down","Flat"))</f>
        <v/>
      </c>
      <c r="K482" s="14" t="n">
        <v>17.48</v>
      </c>
      <c r="L482" s="15" t="n">
        <v>57.32</v>
      </c>
      <c r="M482" s="14" t="n">
        <v>1949.93</v>
      </c>
      <c r="N482" s="14" t="n">
        <v>1952.96</v>
      </c>
      <c r="O482" s="14" t="n">
        <v>1918.53</v>
      </c>
      <c r="P482" s="4">
        <f>IF(O482="","",IF(F482&gt;O482,"Above","Below"))</f>
        <v/>
      </c>
      <c r="Q482" s="16" t="n">
        <v>133712</v>
      </c>
      <c r="R482" s="17" t="n">
        <v>0</v>
      </c>
      <c r="S482" s="17" t="n">
        <v>0</v>
      </c>
      <c r="T482" s="17" t="n">
        <v>0</v>
      </c>
      <c r="U482" s="18" t="n">
        <v>0</v>
      </c>
    </row>
    <row r="483">
      <c r="A483" s="13" t="n">
        <v>45170</v>
      </c>
      <c r="B483" s="4">
        <f>TEXT(A483,"ddd")</f>
        <v/>
      </c>
      <c r="C483" s="14" t="n">
        <v>1966.4</v>
      </c>
      <c r="D483" s="14" t="n">
        <v>1980.2</v>
      </c>
      <c r="E483" s="14" t="n">
        <v>1960.7</v>
      </c>
      <c r="F483" s="14" t="n">
        <v>1967.1</v>
      </c>
      <c r="G483" s="9">
        <f>F483-F482</f>
        <v/>
      </c>
      <c r="H483" s="10">
        <f>IF(F482=0,0,G483/F482)</f>
        <v/>
      </c>
      <c r="I483" s="8">
        <f>D483-E483</f>
        <v/>
      </c>
      <c r="J483" s="4">
        <f>IF(F483&gt;C483,"Up",IF(F483&lt;C483,"Down","Flat"))</f>
        <v/>
      </c>
      <c r="K483" s="14" t="n">
        <v>17.62</v>
      </c>
      <c r="L483" s="15" t="n">
        <v>57.8</v>
      </c>
      <c r="M483" s="14" t="n">
        <v>1951.56</v>
      </c>
      <c r="N483" s="14" t="n">
        <v>1953.51</v>
      </c>
      <c r="O483" s="14" t="n">
        <v>1919.01</v>
      </c>
      <c r="P483" s="4">
        <f>IF(O483="","",IF(F483&gt;O483,"Above","Below"))</f>
        <v/>
      </c>
      <c r="Q483" s="16" t="n">
        <v>160725</v>
      </c>
      <c r="R483" s="17" t="n">
        <v>0</v>
      </c>
      <c r="S483" s="17" t="n">
        <v>0</v>
      </c>
      <c r="T483" s="17" t="n">
        <v>0</v>
      </c>
      <c r="U483" s="18" t="n">
        <v>0</v>
      </c>
    </row>
    <row r="484">
      <c r="A484" s="13" t="n">
        <v>45174</v>
      </c>
      <c r="B484" s="4">
        <f>TEXT(A484,"ddd")</f>
        <v/>
      </c>
      <c r="C484" s="14" t="n">
        <v>1966.7</v>
      </c>
      <c r="D484" s="14" t="n">
        <v>1972.6</v>
      </c>
      <c r="E484" s="14" t="n">
        <v>1950.6</v>
      </c>
      <c r="F484" s="14" t="n">
        <v>1952.6</v>
      </c>
      <c r="G484" s="9">
        <f>F484-F483</f>
        <v/>
      </c>
      <c r="H484" s="10">
        <f>IF(F483=0,0,G484/F483)</f>
        <v/>
      </c>
      <c r="I484" s="8">
        <f>D484-E484</f>
        <v/>
      </c>
      <c r="J484" s="4">
        <f>IF(F484&gt;C484,"Up",IF(F484&lt;C484,"Down","Flat"))</f>
        <v/>
      </c>
      <c r="K484" s="14" t="n">
        <v>17.93</v>
      </c>
      <c r="L484" s="15" t="n">
        <v>50.47</v>
      </c>
      <c r="M484" s="14" t="n">
        <v>1951.66</v>
      </c>
      <c r="N484" s="14" t="n">
        <v>1953.48</v>
      </c>
      <c r="O484" s="14" t="n">
        <v>1919.35</v>
      </c>
      <c r="P484" s="4">
        <f>IF(O484="","",IF(F484&gt;O484,"Above","Below"))</f>
        <v/>
      </c>
      <c r="Q484" s="16" t="n">
        <v>192789</v>
      </c>
      <c r="R484" s="17" t="n">
        <v>0</v>
      </c>
      <c r="S484" s="17" t="n">
        <v>0</v>
      </c>
      <c r="T484" s="17" t="n">
        <v>0</v>
      </c>
      <c r="U484" s="18" t="n">
        <v>0</v>
      </c>
    </row>
    <row r="485">
      <c r="A485" s="13" t="n">
        <v>45175</v>
      </c>
      <c r="B485" s="4">
        <f>TEXT(A485,"ddd")</f>
        <v/>
      </c>
      <c r="C485" s="14" t="n">
        <v>1951.5</v>
      </c>
      <c r="D485" s="14" t="n">
        <v>1954.5</v>
      </c>
      <c r="E485" s="14" t="n">
        <v>1940</v>
      </c>
      <c r="F485" s="14" t="n">
        <v>1944.2</v>
      </c>
      <c r="G485" s="9">
        <f>F485-F484</f>
        <v/>
      </c>
      <c r="H485" s="10">
        <f>IF(F484=0,0,G485/F484)</f>
        <v/>
      </c>
      <c r="I485" s="8">
        <f>D485-E485</f>
        <v/>
      </c>
      <c r="J485" s="4">
        <f>IF(F485&gt;C485,"Up",IF(F485&lt;C485,"Down","Flat"))</f>
        <v/>
      </c>
      <c r="K485" s="14" t="n">
        <v>17.69</v>
      </c>
      <c r="L485" s="15" t="n">
        <v>46.77</v>
      </c>
      <c r="M485" s="14" t="n">
        <v>1950.95</v>
      </c>
      <c r="N485" s="14" t="n">
        <v>1953.11</v>
      </c>
      <c r="O485" s="14" t="n">
        <v>1919.59</v>
      </c>
      <c r="P485" s="4">
        <f>IF(O485="","",IF(F485&gt;O485,"Above","Below"))</f>
        <v/>
      </c>
      <c r="Q485" s="16" t="n">
        <v>148775</v>
      </c>
      <c r="R485" s="17" t="n">
        <v>0</v>
      </c>
      <c r="S485" s="17" t="n">
        <v>0</v>
      </c>
      <c r="T485" s="17" t="n">
        <v>0</v>
      </c>
      <c r="U485" s="18" t="n">
        <v>0</v>
      </c>
    </row>
    <row r="486">
      <c r="A486" s="13" t="n">
        <v>45176</v>
      </c>
      <c r="B486" s="4">
        <f>TEXT(A486,"ddd")</f>
        <v/>
      </c>
      <c r="C486" s="14" t="n">
        <v>1942.2</v>
      </c>
      <c r="D486" s="14" t="n">
        <v>1947.9</v>
      </c>
      <c r="E486" s="14" t="n">
        <v>1940.3</v>
      </c>
      <c r="F486" s="14" t="n">
        <v>1942.5</v>
      </c>
      <c r="G486" s="9">
        <f>F486-F485</f>
        <v/>
      </c>
      <c r="H486" s="10">
        <f>IF(F485=0,0,G486/F485)</f>
        <v/>
      </c>
      <c r="I486" s="8">
        <f>D486-E486</f>
        <v/>
      </c>
      <c r="J486" s="4">
        <f>IF(F486&gt;C486,"Up",IF(F486&lt;C486,"Down","Flat"))</f>
        <v/>
      </c>
      <c r="K486" s="14" t="n">
        <v>16.97</v>
      </c>
      <c r="L486" s="15" t="n">
        <v>46.03</v>
      </c>
      <c r="M486" s="14" t="n">
        <v>1950.15</v>
      </c>
      <c r="N486" s="14" t="n">
        <v>1952.7</v>
      </c>
      <c r="O486" s="14" t="n">
        <v>1919.82</v>
      </c>
      <c r="P486" s="4">
        <f>IF(O486="","",IF(F486&gt;O486,"Above","Below"))</f>
        <v/>
      </c>
      <c r="Q486" s="16" t="n">
        <v>117168</v>
      </c>
      <c r="R486" s="17" t="n">
        <v>0</v>
      </c>
      <c r="S486" s="17" t="n">
        <v>0</v>
      </c>
      <c r="T486" s="17" t="n">
        <v>0</v>
      </c>
      <c r="U486" s="18" t="n">
        <v>0</v>
      </c>
    </row>
    <row r="487">
      <c r="A487" s="13" t="n">
        <v>45177</v>
      </c>
      <c r="B487" s="4">
        <f>TEXT(A487,"ddd")</f>
        <v/>
      </c>
      <c r="C487" s="14" t="n">
        <v>1943.8</v>
      </c>
      <c r="D487" s="14" t="n">
        <v>1954</v>
      </c>
      <c r="E487" s="14" t="n">
        <v>1940.8</v>
      </c>
      <c r="F487" s="14" t="n">
        <v>1942.7</v>
      </c>
      <c r="G487" s="9">
        <f>F487-F486</f>
        <v/>
      </c>
      <c r="H487" s="10">
        <f>IF(F486=0,0,G487/F486)</f>
        <v/>
      </c>
      <c r="I487" s="8">
        <f>D487-E487</f>
        <v/>
      </c>
      <c r="J487" s="4">
        <f>IF(F487&gt;C487,"Up",IF(F487&lt;C487,"Down","Flat"))</f>
        <v/>
      </c>
      <c r="K487" s="14" t="n">
        <v>16.7</v>
      </c>
      <c r="L487" s="15" t="n">
        <v>46.14</v>
      </c>
      <c r="M487" s="14" t="n">
        <v>1949.44</v>
      </c>
      <c r="N487" s="14" t="n">
        <v>1952.31</v>
      </c>
      <c r="O487" s="14" t="n">
        <v>1920.05</v>
      </c>
      <c r="P487" s="4">
        <f>IF(O487="","",IF(F487&gt;O487,"Above","Below"))</f>
        <v/>
      </c>
      <c r="Q487" s="16" t="n">
        <v>138694</v>
      </c>
      <c r="R487" s="17" t="n">
        <v>0</v>
      </c>
      <c r="S487" s="17" t="n">
        <v>0</v>
      </c>
      <c r="T487" s="17" t="n">
        <v>0</v>
      </c>
      <c r="U487" s="18" t="n">
        <v>0</v>
      </c>
    </row>
    <row r="488">
      <c r="A488" s="13" t="n">
        <v>45180</v>
      </c>
      <c r="B488" s="4">
        <f>TEXT(A488,"ddd")</f>
        <v/>
      </c>
      <c r="C488" s="14" t="n">
        <v>1943.3</v>
      </c>
      <c r="D488" s="14" t="n">
        <v>1954.6</v>
      </c>
      <c r="E488" s="14" t="n">
        <v>1939.5</v>
      </c>
      <c r="F488" s="14" t="n">
        <v>1947.2</v>
      </c>
      <c r="G488" s="9">
        <f>F488-F487</f>
        <v/>
      </c>
      <c r="H488" s="10">
        <f>IF(F487=0,0,G488/F487)</f>
        <v/>
      </c>
      <c r="I488" s="8">
        <f>D488-E488</f>
        <v/>
      </c>
      <c r="J488" s="4">
        <f>IF(F488&gt;C488,"Up",IF(F488&lt;C488,"Down","Flat"))</f>
        <v/>
      </c>
      <c r="K488" s="14" t="n">
        <v>16.58</v>
      </c>
      <c r="L488" s="15" t="n">
        <v>48.62</v>
      </c>
      <c r="M488" s="14" t="n">
        <v>1949.23</v>
      </c>
      <c r="N488" s="14" t="n">
        <v>1952.11</v>
      </c>
      <c r="O488" s="14" t="n">
        <v>1920.32</v>
      </c>
      <c r="P488" s="4">
        <f>IF(O488="","",IF(F488&gt;O488,"Above","Below"))</f>
        <v/>
      </c>
      <c r="Q488" s="16" t="n">
        <v>131076</v>
      </c>
      <c r="R488" s="17" t="n">
        <v>0</v>
      </c>
      <c r="S488" s="17" t="n">
        <v>0</v>
      </c>
      <c r="T488" s="17" t="n">
        <v>0</v>
      </c>
      <c r="U488" s="18" t="n">
        <v>0</v>
      </c>
    </row>
    <row r="489">
      <c r="A489" s="13" t="n">
        <v>45181</v>
      </c>
      <c r="B489" s="4">
        <f>TEXT(A489,"ddd")</f>
        <v/>
      </c>
      <c r="C489" s="14" t="n">
        <v>1945.6</v>
      </c>
      <c r="D489" s="14" t="n">
        <v>1947.5</v>
      </c>
      <c r="E489" s="14" t="n">
        <v>1929.9</v>
      </c>
      <c r="F489" s="14" t="n">
        <v>1935.1</v>
      </c>
      <c r="G489" s="9">
        <f>F489-F488</f>
        <v/>
      </c>
      <c r="H489" s="10">
        <f>IF(F488=0,0,G489/F488)</f>
        <v/>
      </c>
      <c r="I489" s="8">
        <f>D489-E489</f>
        <v/>
      </c>
      <c r="J489" s="4">
        <f>IF(F489&gt;C489,"Up",IF(F489&lt;C489,"Down","Flat"))</f>
        <v/>
      </c>
      <c r="K489" s="14" t="n">
        <v>16.66</v>
      </c>
      <c r="L489" s="15" t="n">
        <v>42.9</v>
      </c>
      <c r="M489" s="14" t="n">
        <v>1947.88</v>
      </c>
      <c r="N489" s="14" t="n">
        <v>1951.44</v>
      </c>
      <c r="O489" s="14" t="n">
        <v>1920.47</v>
      </c>
      <c r="P489" s="4">
        <f>IF(O489="","",IF(F489&gt;O489,"Above","Below"))</f>
        <v/>
      </c>
      <c r="Q489" s="16" t="n">
        <v>161993</v>
      </c>
      <c r="R489" s="17" t="n">
        <v>0</v>
      </c>
      <c r="S489" s="17" t="n">
        <v>0</v>
      </c>
      <c r="T489" s="17" t="n">
        <v>0</v>
      </c>
      <c r="U489" s="18" t="n">
        <v>0</v>
      </c>
    </row>
    <row r="490">
      <c r="A490" s="13" t="n">
        <v>45182</v>
      </c>
      <c r="B490" s="4">
        <f>TEXT(A490,"ddd")</f>
        <v/>
      </c>
      <c r="C490" s="14" t="n">
        <v>1935.2</v>
      </c>
      <c r="D490" s="14" t="n">
        <v>1938.4</v>
      </c>
      <c r="E490" s="14" t="n">
        <v>1927.2</v>
      </c>
      <c r="F490" s="14" t="n">
        <v>1932.5</v>
      </c>
      <c r="G490" s="9">
        <f>F490-F489</f>
        <v/>
      </c>
      <c r="H490" s="10">
        <f>IF(F489=0,0,G490/F489)</f>
        <v/>
      </c>
      <c r="I490" s="8">
        <f>D490-E490</f>
        <v/>
      </c>
      <c r="J490" s="4">
        <f>IF(F490&gt;C490,"Up",IF(F490&lt;C490,"Down","Flat"))</f>
        <v/>
      </c>
      <c r="K490" s="14" t="n">
        <v>16.27</v>
      </c>
      <c r="L490" s="15" t="n">
        <v>41.77</v>
      </c>
      <c r="M490" s="14" t="n">
        <v>1946.42</v>
      </c>
      <c r="N490" s="14" t="n">
        <v>1950.7</v>
      </c>
      <c r="O490" s="14" t="n">
        <v>1920.59</v>
      </c>
      <c r="P490" s="4">
        <f>IF(O490="","",IF(F490&gt;O490,"Above","Below"))</f>
        <v/>
      </c>
      <c r="Q490" s="16" t="n">
        <v>161003</v>
      </c>
      <c r="R490" s="17" t="n">
        <v>0</v>
      </c>
      <c r="S490" s="17" t="n">
        <v>0</v>
      </c>
      <c r="T490" s="17" t="n">
        <v>0</v>
      </c>
      <c r="U490" s="18" t="n">
        <v>0</v>
      </c>
    </row>
    <row r="491">
      <c r="A491" s="13" t="n">
        <v>45183</v>
      </c>
      <c r="B491" s="4">
        <f>TEXT(A491,"ddd")</f>
        <v/>
      </c>
      <c r="C491" s="14" t="n">
        <v>1930.7</v>
      </c>
      <c r="D491" s="14" t="n">
        <v>1934.5</v>
      </c>
      <c r="E491" s="14" t="n">
        <v>1921.7</v>
      </c>
      <c r="F491" s="14" t="n">
        <v>1932.8</v>
      </c>
      <c r="G491" s="9">
        <f>F491-F490</f>
        <v/>
      </c>
      <c r="H491" s="10">
        <f>IF(F490=0,0,G491/F490)</f>
        <v/>
      </c>
      <c r="I491" s="8">
        <f>D491-E491</f>
        <v/>
      </c>
      <c r="J491" s="4">
        <f>IF(F491&gt;C491,"Up",IF(F491&lt;C491,"Down","Flat"))</f>
        <v/>
      </c>
      <c r="K491" s="14" t="n">
        <v>16.02</v>
      </c>
      <c r="L491" s="15" t="n">
        <v>41.96</v>
      </c>
      <c r="M491" s="14" t="n">
        <v>1945.12</v>
      </c>
      <c r="N491" s="14" t="n">
        <v>1949.99</v>
      </c>
      <c r="O491" s="14" t="n">
        <v>1920.71</v>
      </c>
      <c r="P491" s="4">
        <f>IF(O491="","",IF(F491&gt;O491,"Above","Below"))</f>
        <v/>
      </c>
      <c r="Q491" s="16" t="n">
        <v>201744</v>
      </c>
      <c r="R491" s="17" t="n">
        <v>0</v>
      </c>
      <c r="S491" s="17" t="n">
        <v>0</v>
      </c>
      <c r="T491" s="17" t="n">
        <v>0</v>
      </c>
      <c r="U491" s="18" t="n">
        <v>0</v>
      </c>
    </row>
    <row r="492">
      <c r="A492" s="13" t="n">
        <v>45184</v>
      </c>
      <c r="B492" s="4">
        <f>TEXT(A492,"ddd")</f>
        <v/>
      </c>
      <c r="C492" s="14" t="n">
        <v>1932.5</v>
      </c>
      <c r="D492" s="14" t="n">
        <v>1952.4</v>
      </c>
      <c r="E492" s="14" t="n">
        <v>1931.2</v>
      </c>
      <c r="F492" s="14" t="n">
        <v>1946.2</v>
      </c>
      <c r="G492" s="9">
        <f>F492-F491</f>
        <v/>
      </c>
      <c r="H492" s="10">
        <f>IF(F491=0,0,G492/F491)</f>
        <v/>
      </c>
      <c r="I492" s="8">
        <f>D492-E492</f>
        <v/>
      </c>
      <c r="J492" s="4">
        <f>IF(F492&gt;C492,"Up",IF(F492&lt;C492,"Down","Flat"))</f>
        <v/>
      </c>
      <c r="K492" s="14" t="n">
        <v>16.39</v>
      </c>
      <c r="L492" s="15" t="n">
        <v>49.86</v>
      </c>
      <c r="M492" s="14" t="n">
        <v>1945.22</v>
      </c>
      <c r="N492" s="14" t="n">
        <v>1949.85</v>
      </c>
      <c r="O492" s="14" t="n">
        <v>1920.96</v>
      </c>
      <c r="P492" s="4">
        <f>IF(O492="","",IF(F492&gt;O492,"Above","Below"))</f>
        <v/>
      </c>
      <c r="Q492" s="16" t="n">
        <v>199773</v>
      </c>
      <c r="R492" s="17" t="n">
        <v>0</v>
      </c>
      <c r="S492" s="17" t="n">
        <v>0</v>
      </c>
      <c r="T492" s="17" t="n">
        <v>0</v>
      </c>
      <c r="U492" s="18" t="n">
        <v>0</v>
      </c>
    </row>
    <row r="493">
      <c r="A493" s="13" t="n">
        <v>45187</v>
      </c>
      <c r="B493" s="4">
        <f>TEXT(A493,"ddd")</f>
        <v/>
      </c>
      <c r="C493" s="14" t="n">
        <v>1945.7</v>
      </c>
      <c r="D493" s="14" t="n">
        <v>1955.7</v>
      </c>
      <c r="E493" s="14" t="n">
        <v>1943.8</v>
      </c>
      <c r="F493" s="14" t="n">
        <v>1953.4</v>
      </c>
      <c r="G493" s="9">
        <f>F493-F492</f>
        <v/>
      </c>
      <c r="H493" s="10">
        <f>IF(F492=0,0,G493/F492)</f>
        <v/>
      </c>
      <c r="I493" s="8">
        <f>D493-E493</f>
        <v/>
      </c>
      <c r="J493" s="4">
        <f>IF(F493&gt;C493,"Up",IF(F493&lt;C493,"Down","Flat"))</f>
        <v/>
      </c>
      <c r="K493" s="14" t="n">
        <v>16.07</v>
      </c>
      <c r="L493" s="15" t="n">
        <v>53.53</v>
      </c>
      <c r="M493" s="14" t="n">
        <v>1946</v>
      </c>
      <c r="N493" s="14" t="n">
        <v>1949.98</v>
      </c>
      <c r="O493" s="14" t="n">
        <v>1921.28</v>
      </c>
      <c r="P493" s="4">
        <f>IF(O493="","",IF(F493&gt;O493,"Above","Below"))</f>
        <v/>
      </c>
      <c r="Q493" s="16" t="n">
        <v>138031</v>
      </c>
      <c r="R493" s="17" t="n">
        <v>0</v>
      </c>
      <c r="S493" s="17" t="n">
        <v>0</v>
      </c>
      <c r="T493" s="17" t="n">
        <v>0</v>
      </c>
      <c r="U493" s="18" t="n">
        <v>0</v>
      </c>
    </row>
    <row r="494">
      <c r="A494" s="13" t="n">
        <v>45188</v>
      </c>
      <c r="B494" s="4">
        <f>TEXT(A494,"ddd")</f>
        <v/>
      </c>
      <c r="C494" s="14" t="n">
        <v>1955.3</v>
      </c>
      <c r="D494" s="14" t="n">
        <v>1958.9</v>
      </c>
      <c r="E494" s="14" t="n">
        <v>1950.9</v>
      </c>
      <c r="F494" s="14" t="n">
        <v>1953.7</v>
      </c>
      <c r="G494" s="9">
        <f>F494-F493</f>
        <v/>
      </c>
      <c r="H494" s="10">
        <f>IF(F493=0,0,G494/F493)</f>
        <v/>
      </c>
      <c r="I494" s="8">
        <f>D494-E494</f>
        <v/>
      </c>
      <c r="J494" s="4">
        <f>IF(F494&gt;C494,"Up",IF(F494&lt;C494,"Down","Flat"))</f>
        <v/>
      </c>
      <c r="K494" s="14" t="n">
        <v>15.49</v>
      </c>
      <c r="L494" s="15" t="n">
        <v>53.68</v>
      </c>
      <c r="M494" s="14" t="n">
        <v>1946.73</v>
      </c>
      <c r="N494" s="14" t="n">
        <v>1950.13</v>
      </c>
      <c r="O494" s="14" t="n">
        <v>1921.61</v>
      </c>
      <c r="P494" s="4">
        <f>IF(O494="","",IF(F494&gt;O494,"Above","Below"))</f>
        <v/>
      </c>
      <c r="Q494" s="16" t="n">
        <v>131097</v>
      </c>
      <c r="R494" s="17" t="n">
        <v>0</v>
      </c>
      <c r="S494" s="17" t="n">
        <v>0</v>
      </c>
      <c r="T494" s="17" t="n">
        <v>0</v>
      </c>
      <c r="U494" s="18" t="n">
        <v>0</v>
      </c>
    </row>
    <row r="495">
      <c r="A495" s="13" t="n">
        <v>45189</v>
      </c>
      <c r="B495" s="4">
        <f>TEXT(A495,"ddd")</f>
        <v/>
      </c>
      <c r="C495" s="14" t="n">
        <v>1953</v>
      </c>
      <c r="D495" s="14" t="n">
        <v>1968.9</v>
      </c>
      <c r="E495" s="14" t="n">
        <v>1948.6</v>
      </c>
      <c r="F495" s="14" t="n">
        <v>1967.1</v>
      </c>
      <c r="G495" s="9">
        <f>F495-F494</f>
        <v/>
      </c>
      <c r="H495" s="10">
        <f>IF(F494=0,0,G495/F494)</f>
        <v/>
      </c>
      <c r="I495" s="8">
        <f>D495-E495</f>
        <v/>
      </c>
      <c r="J495" s="4">
        <f>IF(F495&gt;C495,"Up",IF(F495&lt;C495,"Down","Flat"))</f>
        <v/>
      </c>
      <c r="K495" s="14" t="n">
        <v>15.84</v>
      </c>
      <c r="L495" s="15" t="n">
        <v>59.97</v>
      </c>
      <c r="M495" s="14" t="n">
        <v>1948.67</v>
      </c>
      <c r="N495" s="14" t="n">
        <v>1950.8</v>
      </c>
      <c r="O495" s="14" t="n">
        <v>1922.06</v>
      </c>
      <c r="P495" s="4">
        <f>IF(O495="","",IF(F495&gt;O495,"Above","Below"))</f>
        <v/>
      </c>
      <c r="Q495" s="16" t="n">
        <v>220980</v>
      </c>
      <c r="R495" s="17" t="n">
        <v>0</v>
      </c>
      <c r="S495" s="17" t="n">
        <v>0</v>
      </c>
      <c r="T495" s="17" t="n">
        <v>0</v>
      </c>
      <c r="U495" s="18" t="n">
        <v>0</v>
      </c>
    </row>
    <row r="496">
      <c r="A496" s="13" t="n">
        <v>45190</v>
      </c>
      <c r="B496" s="4">
        <f>TEXT(A496,"ddd")</f>
        <v/>
      </c>
      <c r="C496" s="14" t="n">
        <v>1952</v>
      </c>
      <c r="D496" s="14" t="n">
        <v>1952.2</v>
      </c>
      <c r="E496" s="14" t="n">
        <v>1933.1</v>
      </c>
      <c r="F496" s="14" t="n">
        <v>1939.6</v>
      </c>
      <c r="G496" s="9">
        <f>F496-F495</f>
        <v/>
      </c>
      <c r="H496" s="10">
        <f>IF(F495=0,0,G496/F495)</f>
        <v/>
      </c>
      <c r="I496" s="8">
        <f>D496-E496</f>
        <v/>
      </c>
      <c r="J496" s="4">
        <f>IF(F496&gt;C496,"Up",IF(F496&lt;C496,"Down","Flat"))</f>
        <v/>
      </c>
      <c r="K496" s="14" t="n">
        <v>17.13</v>
      </c>
      <c r="L496" s="15" t="n">
        <v>46.12</v>
      </c>
      <c r="M496" s="14" t="n">
        <v>1947.81</v>
      </c>
      <c r="N496" s="14" t="n">
        <v>1950.36</v>
      </c>
      <c r="O496" s="14" t="n">
        <v>1922.23</v>
      </c>
      <c r="P496" s="4">
        <f>IF(O496="","",IF(F496&gt;O496,"Above","Below"))</f>
        <v/>
      </c>
      <c r="Q496" s="16" t="n">
        <v>225908</v>
      </c>
      <c r="R496" s="17" t="n">
        <v>0</v>
      </c>
      <c r="S496" s="17" t="n">
        <v>0</v>
      </c>
      <c r="T496" s="17" t="n">
        <v>0</v>
      </c>
      <c r="U496" s="18" t="n">
        <v>0</v>
      </c>
    </row>
    <row r="497">
      <c r="A497" s="13" t="n">
        <v>45191</v>
      </c>
      <c r="B497" s="4">
        <f>TEXT(A497,"ddd")</f>
        <v/>
      </c>
      <c r="C497" s="14" t="n">
        <v>1939.6</v>
      </c>
      <c r="D497" s="14" t="n">
        <v>1949.1</v>
      </c>
      <c r="E497" s="14" t="n">
        <v>1939.6</v>
      </c>
      <c r="F497" s="14" t="n">
        <v>1945.6</v>
      </c>
      <c r="G497" s="9">
        <f>F497-F496</f>
        <v/>
      </c>
      <c r="H497" s="10">
        <f>IF(F496=0,0,G497/F496)</f>
        <v/>
      </c>
      <c r="I497" s="8">
        <f>D497-E497</f>
        <v/>
      </c>
      <c r="J497" s="4">
        <f>IF(F497&gt;C497,"Up",IF(F497&lt;C497,"Down","Flat"))</f>
        <v/>
      </c>
      <c r="K497" s="14" t="n">
        <v>16.59</v>
      </c>
      <c r="L497" s="15" t="n">
        <v>48.9</v>
      </c>
      <c r="M497" s="14" t="n">
        <v>1947.6</v>
      </c>
      <c r="N497" s="14" t="n">
        <v>1950.17</v>
      </c>
      <c r="O497" s="14" t="n">
        <v>1922.47</v>
      </c>
      <c r="P497" s="4">
        <f>IF(O497="","",IF(F497&gt;O497,"Above","Below"))</f>
        <v/>
      </c>
      <c r="Q497" s="16" t="n">
        <v>139926</v>
      </c>
      <c r="R497" s="17" t="n">
        <v>0</v>
      </c>
      <c r="S497" s="17" t="n">
        <v>0</v>
      </c>
      <c r="T497" s="17" t="n">
        <v>0</v>
      </c>
      <c r="U497" s="18" t="n">
        <v>0</v>
      </c>
    </row>
    <row r="498">
      <c r="A498" s="13" t="n">
        <v>45194</v>
      </c>
      <c r="B498" s="4">
        <f>TEXT(A498,"ddd")</f>
        <v/>
      </c>
      <c r="C498" s="14" t="n">
        <v>1944.7</v>
      </c>
      <c r="D498" s="14" t="n">
        <v>1946.8</v>
      </c>
      <c r="E498" s="14" t="n">
        <v>1933.8</v>
      </c>
      <c r="F498" s="14" t="n">
        <v>1936.6</v>
      </c>
      <c r="G498" s="9">
        <f>F498-F497</f>
        <v/>
      </c>
      <c r="H498" s="10">
        <f>IF(F497=0,0,G498/F497)</f>
        <v/>
      </c>
      <c r="I498" s="8">
        <f>D498-E498</f>
        <v/>
      </c>
      <c r="J498" s="4">
        <f>IF(F498&gt;C498,"Up",IF(F498&lt;C498,"Down","Flat"))</f>
        <v/>
      </c>
      <c r="K498" s="14" t="n">
        <v>16.33</v>
      </c>
      <c r="L498" s="15" t="n">
        <v>45.14</v>
      </c>
      <c r="M498" s="14" t="n">
        <v>1946.55</v>
      </c>
      <c r="N498" s="14" t="n">
        <v>1949.64</v>
      </c>
      <c r="O498" s="14" t="n">
        <v>1922.61</v>
      </c>
      <c r="P498" s="4">
        <f>IF(O498="","",IF(F498&gt;O498,"Above","Below"))</f>
        <v/>
      </c>
      <c r="Q498" s="16" t="n">
        <v>164259</v>
      </c>
      <c r="R498" s="17" t="n">
        <v>0</v>
      </c>
      <c r="S498" s="17" t="n">
        <v>0</v>
      </c>
      <c r="T498" s="17" t="n">
        <v>0</v>
      </c>
      <c r="U498" s="18" t="n">
        <v>0</v>
      </c>
    </row>
    <row r="499">
      <c r="A499" s="13" t="n">
        <v>45195</v>
      </c>
      <c r="B499" s="4">
        <f>TEXT(A499,"ddd")</f>
        <v/>
      </c>
      <c r="C499" s="14" t="n">
        <v>1935.1</v>
      </c>
      <c r="D499" s="14" t="n">
        <v>1935.5</v>
      </c>
      <c r="E499" s="14" t="n">
        <v>1917.2</v>
      </c>
      <c r="F499" s="14" t="n">
        <v>1919.8</v>
      </c>
      <c r="G499" s="9">
        <f>F499-F498</f>
        <v/>
      </c>
      <c r="H499" s="10">
        <f>IF(F498=0,0,G499/F498)</f>
        <v/>
      </c>
      <c r="I499" s="8">
        <f>D499-E499</f>
        <v/>
      </c>
      <c r="J499" s="4">
        <f>IF(F499&gt;C499,"Up",IF(F499&lt;C499,"Down","Flat"))</f>
        <v/>
      </c>
      <c r="K499" s="14" t="n">
        <v>16.55</v>
      </c>
      <c r="L499" s="15" t="n">
        <v>39.11</v>
      </c>
      <c r="M499" s="14" t="n">
        <v>1944</v>
      </c>
      <c r="N499" s="14" t="n">
        <v>1948.47</v>
      </c>
      <c r="O499" s="14" t="n">
        <v>1922.58</v>
      </c>
      <c r="P499" s="4">
        <f>IF(O499="","",IF(F499&gt;O499,"Above","Below"))</f>
        <v/>
      </c>
      <c r="Q499" s="16" t="n">
        <v>212263</v>
      </c>
      <c r="R499" s="17" t="n">
        <v>0</v>
      </c>
      <c r="S499" s="17" t="n">
        <v>0</v>
      </c>
      <c r="T499" s="17" t="n">
        <v>0</v>
      </c>
      <c r="U499" s="18" t="n">
        <v>0</v>
      </c>
    </row>
    <row r="500">
      <c r="A500" s="13" t="n">
        <v>45196</v>
      </c>
      <c r="B500" s="4">
        <f>TEXT(A500,"ddd")</f>
        <v/>
      </c>
      <c r="C500" s="14" t="n">
        <v>1918.8</v>
      </c>
      <c r="D500" s="14" t="n">
        <v>1921.7</v>
      </c>
      <c r="E500" s="14" t="n">
        <v>1890.3</v>
      </c>
      <c r="F500" s="14" t="n">
        <v>1890.9</v>
      </c>
      <c r="G500" s="9">
        <f>F500-F499</f>
        <v/>
      </c>
      <c r="H500" s="10">
        <f>IF(F499=0,0,G500/F499)</f>
        <v/>
      </c>
      <c r="I500" s="8">
        <f>D500-E500</f>
        <v/>
      </c>
      <c r="J500" s="4">
        <f>IF(F500&gt;C500,"Up",IF(F500&lt;C500,"Down","Flat"))</f>
        <v/>
      </c>
      <c r="K500" s="14" t="n">
        <v>17.61</v>
      </c>
      <c r="L500" s="15" t="n">
        <v>31.35</v>
      </c>
      <c r="M500" s="14" t="n">
        <v>1938.95</v>
      </c>
      <c r="N500" s="14" t="n">
        <v>1946.21</v>
      </c>
      <c r="O500" s="14" t="n">
        <v>1922.26</v>
      </c>
      <c r="P500" s="4">
        <f>IF(O500="","",IF(F500&gt;O500,"Above","Below"))</f>
        <v/>
      </c>
      <c r="Q500" s="16" t="n">
        <v>238525</v>
      </c>
      <c r="R500" s="17" t="n">
        <v>0</v>
      </c>
      <c r="S500" s="17" t="n">
        <v>0</v>
      </c>
      <c r="T500" s="17" t="n">
        <v>0</v>
      </c>
      <c r="U500" s="18" t="n">
        <v>0</v>
      </c>
    </row>
    <row r="501">
      <c r="A501" s="13" t="n">
        <v>45197</v>
      </c>
      <c r="B501" s="4">
        <f>TEXT(A501,"ddd")</f>
        <v/>
      </c>
      <c r="C501" s="14" t="n">
        <v>1893.3</v>
      </c>
      <c r="D501" s="14" t="n">
        <v>1896.8</v>
      </c>
      <c r="E501" s="14" t="n">
        <v>1874.5</v>
      </c>
      <c r="F501" s="14" t="n">
        <v>1878.6</v>
      </c>
      <c r="G501" s="9">
        <f>F501-F500</f>
        <v/>
      </c>
      <c r="H501" s="10">
        <f>IF(F500=0,0,G501/F500)</f>
        <v/>
      </c>
      <c r="I501" s="8">
        <f>D501-E501</f>
        <v/>
      </c>
      <c r="J501" s="4">
        <f>IF(F501&gt;C501,"Up",IF(F501&lt;C501,"Down","Flat"))</f>
        <v/>
      </c>
      <c r="K501" s="14" t="n">
        <v>17.95</v>
      </c>
      <c r="L501" s="15" t="n">
        <v>28.73</v>
      </c>
      <c r="M501" s="14" t="n">
        <v>1933.2</v>
      </c>
      <c r="N501" s="14" t="n">
        <v>1943.56</v>
      </c>
      <c r="O501" s="14" t="n">
        <v>1921.83</v>
      </c>
      <c r="P501" s="4">
        <f>IF(O501="","",IF(F501&gt;O501,"Above","Below"))</f>
        <v/>
      </c>
      <c r="Q501" s="16" t="n">
        <v>231419</v>
      </c>
      <c r="R501" s="17" t="n">
        <v>0</v>
      </c>
      <c r="S501" s="17" t="n">
        <v>0</v>
      </c>
      <c r="T501" s="17" t="n">
        <v>0</v>
      </c>
      <c r="U501" s="18" t="n">
        <v>0</v>
      </c>
    </row>
    <row r="502">
      <c r="A502" s="13" t="n">
        <v>45198</v>
      </c>
      <c r="B502" s="4">
        <f>TEXT(A502,"ddd")</f>
        <v/>
      </c>
      <c r="C502" s="14" t="n">
        <v>1882.3</v>
      </c>
      <c r="D502" s="14" t="n">
        <v>1896.7</v>
      </c>
      <c r="E502" s="14" t="n">
        <v>1862.3</v>
      </c>
      <c r="F502" s="14" t="n">
        <v>1866.1</v>
      </c>
      <c r="G502" s="9">
        <f>F502-F501</f>
        <v/>
      </c>
      <c r="H502" s="10">
        <f>IF(F501=0,0,G502/F501)</f>
        <v/>
      </c>
      <c r="I502" s="8">
        <f>D502-E502</f>
        <v/>
      </c>
      <c r="J502" s="4">
        <f>IF(F502&gt;C502,"Up",IF(F502&lt;C502,"Down","Flat"))</f>
        <v/>
      </c>
      <c r="K502" s="14" t="n">
        <v>19.12</v>
      </c>
      <c r="L502" s="15" t="n">
        <v>26.33</v>
      </c>
      <c r="M502" s="14" t="n">
        <v>1926.81</v>
      </c>
      <c r="N502" s="14" t="n">
        <v>1940.52</v>
      </c>
      <c r="O502" s="14" t="n">
        <v>1921.27</v>
      </c>
      <c r="P502" s="4">
        <f>IF(O502="","",IF(F502&gt;O502,"Above","Below"))</f>
        <v/>
      </c>
      <c r="Q502" s="16" t="n">
        <v>245131</v>
      </c>
      <c r="R502" s="17" t="n">
        <v>0</v>
      </c>
      <c r="S502" s="17" t="n">
        <v>0</v>
      </c>
      <c r="T502" s="17" t="n">
        <v>0</v>
      </c>
      <c r="U502" s="18" t="n">
        <v>0</v>
      </c>
    </row>
    <row r="503">
      <c r="A503" s="13" t="n">
        <v>45201</v>
      </c>
      <c r="B503" s="4">
        <f>TEXT(A503,"ddd")</f>
        <v/>
      </c>
      <c r="C503" s="14" t="n">
        <v>1864.4</v>
      </c>
      <c r="D503" s="14" t="n">
        <v>1864.7</v>
      </c>
      <c r="E503" s="14" t="n">
        <v>1842.7</v>
      </c>
      <c r="F503" s="14" t="n">
        <v>1847.2</v>
      </c>
      <c r="G503" s="9">
        <f>F503-F502</f>
        <v/>
      </c>
      <c r="H503" s="10">
        <f>IF(F502=0,0,G503/F502)</f>
        <v/>
      </c>
      <c r="I503" s="8">
        <f>D503-E503</f>
        <v/>
      </c>
      <c r="J503" s="4">
        <f>IF(F503&gt;C503,"Up",IF(F503&lt;C503,"Down","Flat"))</f>
        <v/>
      </c>
      <c r="K503" s="14" t="n">
        <v>19.43</v>
      </c>
      <c r="L503" s="15" t="n">
        <v>23.18</v>
      </c>
      <c r="M503" s="14" t="n">
        <v>1919.23</v>
      </c>
      <c r="N503" s="14" t="n">
        <v>1936.86</v>
      </c>
      <c r="O503" s="14" t="n">
        <v>1920.54</v>
      </c>
      <c r="P503" s="4">
        <f>IF(O503="","",IF(F503&gt;O503,"Above","Below"))</f>
        <v/>
      </c>
      <c r="Q503" s="16" t="n">
        <v>202147</v>
      </c>
      <c r="R503" s="17" t="n">
        <v>0</v>
      </c>
      <c r="S503" s="17" t="n">
        <v>0</v>
      </c>
      <c r="T503" s="17" t="n">
        <v>0</v>
      </c>
      <c r="U503" s="18" t="n">
        <v>0</v>
      </c>
    </row>
    <row r="504">
      <c r="A504" s="13" t="n">
        <v>45202</v>
      </c>
      <c r="B504" s="4">
        <f>TEXT(A504,"ddd")</f>
        <v/>
      </c>
      <c r="C504" s="14" t="n">
        <v>1844.9</v>
      </c>
      <c r="D504" s="14" t="n">
        <v>1849.3</v>
      </c>
      <c r="E504" s="14" t="n">
        <v>1830.9</v>
      </c>
      <c r="F504" s="14" t="n">
        <v>1841.5</v>
      </c>
      <c r="G504" s="9">
        <f>F504-F503</f>
        <v/>
      </c>
      <c r="H504" s="10">
        <f>IF(F503=0,0,G504/F503)</f>
        <v/>
      </c>
      <c r="I504" s="8">
        <f>D504-E504</f>
        <v/>
      </c>
      <c r="J504" s="4">
        <f>IF(F504&gt;C504,"Up",IF(F504&lt;C504,"Down","Flat"))</f>
        <v/>
      </c>
      <c r="K504" s="14" t="n">
        <v>19.35</v>
      </c>
      <c r="L504" s="15" t="n">
        <v>22.31</v>
      </c>
      <c r="M504" s="14" t="n">
        <v>1911.82</v>
      </c>
      <c r="N504" s="14" t="n">
        <v>1933.12</v>
      </c>
      <c r="O504" s="14" t="n">
        <v>1919.75</v>
      </c>
      <c r="P504" s="4">
        <f>IF(O504="","",IF(F504&gt;O504,"Above","Below"))</f>
        <v/>
      </c>
      <c r="Q504" s="16" t="n">
        <v>216784</v>
      </c>
      <c r="R504" s="17" t="n">
        <v>0</v>
      </c>
      <c r="S504" s="17" t="n">
        <v>0</v>
      </c>
      <c r="T504" s="17" t="n">
        <v>0</v>
      </c>
      <c r="U504" s="18" t="n">
        <v>0</v>
      </c>
    </row>
    <row r="505">
      <c r="A505" s="13" t="n">
        <v>45203</v>
      </c>
      <c r="B505" s="4">
        <f>TEXT(A505,"ddd")</f>
        <v/>
      </c>
      <c r="C505" s="14" t="n">
        <v>1838.7</v>
      </c>
      <c r="D505" s="14" t="n">
        <v>1846.8</v>
      </c>
      <c r="E505" s="14" t="n">
        <v>1831.6</v>
      </c>
      <c r="F505" s="14" t="n">
        <v>1834.8</v>
      </c>
      <c r="G505" s="9">
        <f>F505-F504</f>
        <v/>
      </c>
      <c r="H505" s="10">
        <f>IF(F504=0,0,G505/F504)</f>
        <v/>
      </c>
      <c r="I505" s="8">
        <f>D505-E505</f>
        <v/>
      </c>
      <c r="J505" s="4">
        <f>IF(F505&gt;C505,"Up",IF(F505&lt;C505,"Down","Flat"))</f>
        <v/>
      </c>
      <c r="K505" s="14" t="n">
        <v>19.06</v>
      </c>
      <c r="L505" s="15" t="n">
        <v>21.3</v>
      </c>
      <c r="M505" s="14" t="n">
        <v>1904.49</v>
      </c>
      <c r="N505" s="14" t="n">
        <v>1929.27</v>
      </c>
      <c r="O505" s="14" t="n">
        <v>1918.91</v>
      </c>
      <c r="P505" s="4">
        <f>IF(O505="","",IF(F505&gt;O505,"Above","Below"))</f>
        <v/>
      </c>
      <c r="Q505" s="16" t="n">
        <v>195048</v>
      </c>
      <c r="R505" s="17" t="n">
        <v>0</v>
      </c>
      <c r="S505" s="17" t="n">
        <v>0</v>
      </c>
      <c r="T505" s="17" t="n">
        <v>0</v>
      </c>
      <c r="U505" s="18" t="n">
        <v>0</v>
      </c>
    </row>
    <row r="506">
      <c r="A506" s="13" t="n">
        <v>45204</v>
      </c>
      <c r="B506" s="4">
        <f>TEXT(A506,"ddd")</f>
        <v/>
      </c>
      <c r="C506" s="14" t="n">
        <v>1837.6</v>
      </c>
      <c r="D506" s="14" t="n">
        <v>1843.5</v>
      </c>
      <c r="E506" s="14" t="n">
        <v>1826.2</v>
      </c>
      <c r="F506" s="14" t="n">
        <v>1831.8</v>
      </c>
      <c r="G506" s="9">
        <f>F506-F505</f>
        <v/>
      </c>
      <c r="H506" s="10">
        <f>IF(F505=0,0,G506/F505)</f>
        <v/>
      </c>
      <c r="I506" s="8">
        <f>D506-E506</f>
        <v/>
      </c>
      <c r="J506" s="4">
        <f>IF(F506&gt;C506,"Up",IF(F506&lt;C506,"Down","Flat"))</f>
        <v/>
      </c>
      <c r="K506" s="14" t="n">
        <v>18.93</v>
      </c>
      <c r="L506" s="15" t="n">
        <v>20.84</v>
      </c>
      <c r="M506" s="14" t="n">
        <v>1897.57</v>
      </c>
      <c r="N506" s="14" t="n">
        <v>1925.44</v>
      </c>
      <c r="O506" s="14" t="n">
        <v>1918.04</v>
      </c>
      <c r="P506" s="4">
        <f>IF(O506="","",IF(F506&gt;O506,"Above","Below"))</f>
        <v/>
      </c>
      <c r="Q506" s="16" t="n">
        <v>172464</v>
      </c>
      <c r="R506" s="17" t="n">
        <v>0</v>
      </c>
      <c r="S506" s="17" t="n">
        <v>0</v>
      </c>
      <c r="T506" s="17" t="n">
        <v>0</v>
      </c>
      <c r="U506" s="18" t="n">
        <v>0</v>
      </c>
    </row>
    <row r="507">
      <c r="A507" s="13" t="n">
        <v>45205</v>
      </c>
      <c r="B507" s="4">
        <f>TEXT(A507,"ddd")</f>
        <v/>
      </c>
      <c r="C507" s="14" t="n">
        <v>1834.3</v>
      </c>
      <c r="D507" s="14" t="n">
        <v>1849</v>
      </c>
      <c r="E507" s="14" t="n">
        <v>1823.5</v>
      </c>
      <c r="F507" s="14" t="n">
        <v>1845.2</v>
      </c>
      <c r="G507" s="9">
        <f>F507-F506</f>
        <v/>
      </c>
      <c r="H507" s="10">
        <f>IF(F506=0,0,G507/F506)</f>
        <v/>
      </c>
      <c r="I507" s="8">
        <f>D507-E507</f>
        <v/>
      </c>
      <c r="J507" s="4">
        <f>IF(F507&gt;C507,"Up",IF(F507&lt;C507,"Down","Flat"))</f>
        <v/>
      </c>
      <c r="K507" s="14" t="n">
        <v>19.4</v>
      </c>
      <c r="L507" s="15" t="n">
        <v>28.22</v>
      </c>
      <c r="M507" s="14" t="n">
        <v>1892.58</v>
      </c>
      <c r="N507" s="14" t="n">
        <v>1922.3</v>
      </c>
      <c r="O507" s="14" t="n">
        <v>1917.31</v>
      </c>
      <c r="P507" s="4">
        <f>IF(O507="","",IF(F507&gt;O507,"Above","Below"))</f>
        <v/>
      </c>
      <c r="Q507" s="16" t="n">
        <v>231024</v>
      </c>
      <c r="R507" s="17" t="n">
        <v>0</v>
      </c>
      <c r="S507" s="17" t="n">
        <v>0</v>
      </c>
      <c r="T507" s="17" t="n">
        <v>0</v>
      </c>
      <c r="U507" s="18" t="n">
        <v>0</v>
      </c>
    </row>
    <row r="508">
      <c r="A508" s="13" t="n">
        <v>45208</v>
      </c>
      <c r="B508" s="4">
        <f>TEXT(A508,"ddd")</f>
        <v/>
      </c>
      <c r="C508" s="14" t="n">
        <v>1861</v>
      </c>
      <c r="D508" s="14" t="n">
        <v>1877.3</v>
      </c>
      <c r="E508" s="14" t="n">
        <v>1857.5</v>
      </c>
      <c r="F508" s="14" t="n">
        <v>1864.3</v>
      </c>
      <c r="G508" s="9">
        <f>F508-F507</f>
        <v/>
      </c>
      <c r="H508" s="10">
        <f>IF(F507=0,0,G508/F507)</f>
        <v/>
      </c>
      <c r="I508" s="8">
        <f>D508-E508</f>
        <v/>
      </c>
      <c r="J508" s="4">
        <f>IF(F508&gt;C508,"Up",IF(F508&lt;C508,"Down","Flat"))</f>
        <v/>
      </c>
      <c r="K508" s="14" t="n">
        <v>20.31</v>
      </c>
      <c r="L508" s="15" t="n">
        <v>37.2</v>
      </c>
      <c r="M508" s="14" t="n">
        <v>1889.89</v>
      </c>
      <c r="N508" s="14" t="n">
        <v>1920.02</v>
      </c>
      <c r="O508" s="14" t="n">
        <v>1916.79</v>
      </c>
      <c r="P508" s="4">
        <f>IF(O508="","",IF(F508&gt;O508,"Above","Below"))</f>
        <v/>
      </c>
      <c r="Q508" s="16" t="n">
        <v>187802</v>
      </c>
      <c r="R508" s="17" t="n">
        <v>0</v>
      </c>
      <c r="S508" s="17" t="n">
        <v>0</v>
      </c>
      <c r="T508" s="17" t="n">
        <v>0</v>
      </c>
      <c r="U508" s="18" t="n">
        <v>0</v>
      </c>
    </row>
    <row r="509">
      <c r="A509" s="13" t="n">
        <v>45209</v>
      </c>
      <c r="B509" s="4">
        <f>TEXT(A509,"ddd")</f>
        <v/>
      </c>
      <c r="C509" s="14" t="n">
        <v>1875.4</v>
      </c>
      <c r="D509" s="14" t="n">
        <v>1879.1</v>
      </c>
      <c r="E509" s="14" t="n">
        <v>1866.1</v>
      </c>
      <c r="F509" s="14" t="n">
        <v>1875.3</v>
      </c>
      <c r="G509" s="9">
        <f>F509-F508</f>
        <v/>
      </c>
      <c r="H509" s="10">
        <f>IF(F508=0,0,G509/F508)</f>
        <v/>
      </c>
      <c r="I509" s="8">
        <f>D509-E509</f>
        <v/>
      </c>
      <c r="J509" s="4">
        <f>IF(F509&gt;C509,"Up",IF(F509&lt;C509,"Down","Flat"))</f>
        <v/>
      </c>
      <c r="K509" s="14" t="n">
        <v>19.91</v>
      </c>
      <c r="L509" s="15" t="n">
        <v>41.73</v>
      </c>
      <c r="M509" s="14" t="n">
        <v>1888.5</v>
      </c>
      <c r="N509" s="14" t="n">
        <v>1918.27</v>
      </c>
      <c r="O509" s="14" t="n">
        <v>1916.37</v>
      </c>
      <c r="P509" s="4">
        <f>IF(O509="","",IF(F509&gt;O509,"Above","Below"))</f>
        <v/>
      </c>
      <c r="Q509" s="16" t="n">
        <v>157340</v>
      </c>
      <c r="R509" s="17" t="n">
        <v>0</v>
      </c>
      <c r="S509" s="17" t="n">
        <v>0</v>
      </c>
      <c r="T509" s="17" t="n">
        <v>0</v>
      </c>
      <c r="U509" s="18" t="n">
        <v>0</v>
      </c>
    </row>
    <row r="510">
      <c r="A510" s="13" t="n">
        <v>45210</v>
      </c>
      <c r="B510" s="4">
        <f>TEXT(A510,"ddd")</f>
        <v/>
      </c>
      <c r="C510" s="14" t="n">
        <v>1873.7</v>
      </c>
      <c r="D510" s="14" t="n">
        <v>1890.9</v>
      </c>
      <c r="E510" s="14" t="n">
        <v>1871.7</v>
      </c>
      <c r="F510" s="14" t="n">
        <v>1887.3</v>
      </c>
      <c r="G510" s="9">
        <f>F510-F509</f>
        <v/>
      </c>
      <c r="H510" s="10">
        <f>IF(F509=0,0,G510/F509)</f>
        <v/>
      </c>
      <c r="I510" s="8">
        <f>D510-E510</f>
        <v/>
      </c>
      <c r="J510" s="4">
        <f>IF(F510&gt;C510,"Up",IF(F510&lt;C510,"Down","Flat"))</f>
        <v/>
      </c>
      <c r="K510" s="14" t="n">
        <v>19.86</v>
      </c>
      <c r="L510" s="15" t="n">
        <v>46.27</v>
      </c>
      <c r="M510" s="14" t="n">
        <v>1888.38</v>
      </c>
      <c r="N510" s="14" t="n">
        <v>1917.05</v>
      </c>
      <c r="O510" s="14" t="n">
        <v>1916.08</v>
      </c>
      <c r="P510" s="4">
        <f>IF(O510="","",IF(F510&gt;O510,"Above","Below"))</f>
        <v/>
      </c>
      <c r="Q510" s="16" t="n">
        <v>169964</v>
      </c>
      <c r="R510" s="17" t="n">
        <v>0</v>
      </c>
      <c r="S510" s="17" t="n">
        <v>0</v>
      </c>
      <c r="T510" s="17" t="n">
        <v>0</v>
      </c>
      <c r="U510" s="18" t="n">
        <v>0</v>
      </c>
    </row>
    <row r="511">
      <c r="A511" s="13" t="n">
        <v>45211</v>
      </c>
      <c r="B511" s="4">
        <f>TEXT(A511,"ddd")</f>
        <v/>
      </c>
      <c r="C511" s="14" t="n">
        <v>1888.1</v>
      </c>
      <c r="D511" s="14" t="n">
        <v>1898.3</v>
      </c>
      <c r="E511" s="14" t="n">
        <v>1880.6</v>
      </c>
      <c r="F511" s="14" t="n">
        <v>1883</v>
      </c>
      <c r="G511" s="9">
        <f>F511-F510</f>
        <v/>
      </c>
      <c r="H511" s="10">
        <f>IF(F510=0,0,G511/F510)</f>
        <v/>
      </c>
      <c r="I511" s="8">
        <f>D511-E511</f>
        <v/>
      </c>
      <c r="J511" s="4">
        <f>IF(F511&gt;C511,"Up",IF(F511&lt;C511,"Down","Flat"))</f>
        <v/>
      </c>
      <c r="K511" s="14" t="n">
        <v>19.71</v>
      </c>
      <c r="L511" s="15" t="n">
        <v>44.92</v>
      </c>
      <c r="M511" s="14" t="n">
        <v>1887.87</v>
      </c>
      <c r="N511" s="14" t="n">
        <v>1915.72</v>
      </c>
      <c r="O511" s="14" t="n">
        <v>1915.76</v>
      </c>
      <c r="P511" s="4">
        <f>IF(O511="","",IF(F511&gt;O511,"Above","Below"))</f>
        <v/>
      </c>
      <c r="Q511" s="16" t="n">
        <v>163475</v>
      </c>
      <c r="R511" s="17" t="n">
        <v>0</v>
      </c>
      <c r="S511" s="17" t="n">
        <v>0</v>
      </c>
      <c r="T511" s="17" t="n">
        <v>0</v>
      </c>
      <c r="U511" s="18" t="n">
        <v>0</v>
      </c>
    </row>
    <row r="512">
      <c r="A512" s="13" t="n">
        <v>45212</v>
      </c>
      <c r="B512" s="4">
        <f>TEXT(A512,"ddd")</f>
        <v/>
      </c>
      <c r="C512" s="14" t="n">
        <v>1881.7</v>
      </c>
      <c r="D512" s="14" t="n">
        <v>1946.2</v>
      </c>
      <c r="E512" s="14" t="n">
        <v>1881.5</v>
      </c>
      <c r="F512" s="14" t="n">
        <v>1941.5</v>
      </c>
      <c r="G512" s="9">
        <f>F512-F511</f>
        <v/>
      </c>
      <c r="H512" s="10">
        <f>IF(F511=0,0,G512/F511)</f>
        <v/>
      </c>
      <c r="I512" s="8">
        <f>D512-E512</f>
        <v/>
      </c>
      <c r="J512" s="4">
        <f>IF(F512&gt;C512,"Up",IF(F512&lt;C512,"Down","Flat"))</f>
        <v/>
      </c>
      <c r="K512" s="14" t="n">
        <v>22.92</v>
      </c>
      <c r="L512" s="15" t="n">
        <v>61.44</v>
      </c>
      <c r="M512" s="14" t="n">
        <v>1892.98</v>
      </c>
      <c r="N512" s="14" t="n">
        <v>1916.73</v>
      </c>
      <c r="O512" s="14" t="n">
        <v>1916.01</v>
      </c>
      <c r="P512" s="4">
        <f>IF(O512="","",IF(F512&gt;O512,"Above","Below"))</f>
        <v/>
      </c>
      <c r="Q512" s="16" t="n">
        <v>312994</v>
      </c>
      <c r="R512" s="17" t="n">
        <v>0</v>
      </c>
      <c r="S512" s="17" t="n">
        <v>0</v>
      </c>
      <c r="T512" s="17" t="n">
        <v>0</v>
      </c>
      <c r="U512" s="18" t="n">
        <v>0</v>
      </c>
    </row>
    <row r="513">
      <c r="A513" s="13" t="n">
        <v>45215</v>
      </c>
      <c r="B513" s="4">
        <f>TEXT(A513,"ddd")</f>
        <v/>
      </c>
      <c r="C513" s="14" t="n">
        <v>1941.3</v>
      </c>
      <c r="D513" s="14" t="n">
        <v>1943</v>
      </c>
      <c r="E513" s="14" t="n">
        <v>1921.2</v>
      </c>
      <c r="F513" s="14" t="n">
        <v>1934.3</v>
      </c>
      <c r="G513" s="9">
        <f>F513-F512</f>
        <v/>
      </c>
      <c r="H513" s="10">
        <f>IF(F512=0,0,G513/F512)</f>
        <v/>
      </c>
      <c r="I513" s="8">
        <f>D513-E513</f>
        <v/>
      </c>
      <c r="J513" s="4">
        <f>IF(F513&gt;C513,"Up",IF(F513&lt;C513,"Down","Flat"))</f>
        <v/>
      </c>
      <c r="K513" s="14" t="n">
        <v>22.84</v>
      </c>
      <c r="L513" s="15" t="n">
        <v>59.09</v>
      </c>
      <c r="M513" s="14" t="n">
        <v>1896.91</v>
      </c>
      <c r="N513" s="14" t="n">
        <v>1917.42</v>
      </c>
      <c r="O513" s="14" t="n">
        <v>1916.19</v>
      </c>
      <c r="P513" s="4">
        <f>IF(O513="","",IF(F513&gt;O513,"Above","Below"))</f>
        <v/>
      </c>
      <c r="Q513" s="16" t="n">
        <v>182823</v>
      </c>
      <c r="R513" s="17" t="n">
        <v>0</v>
      </c>
      <c r="S513" s="17" t="n">
        <v>0</v>
      </c>
      <c r="T513" s="17" t="n">
        <v>0</v>
      </c>
      <c r="U513" s="18" t="n">
        <v>0</v>
      </c>
    </row>
    <row r="514">
      <c r="A514" s="13" t="n">
        <v>45216</v>
      </c>
      <c r="B514" s="4">
        <f>TEXT(A514,"ddd")</f>
        <v/>
      </c>
      <c r="C514" s="14" t="n">
        <v>1933.3</v>
      </c>
      <c r="D514" s="14" t="n">
        <v>1944.5</v>
      </c>
      <c r="E514" s="14" t="n">
        <v>1924.6</v>
      </c>
      <c r="F514" s="14" t="n">
        <v>1935.7</v>
      </c>
      <c r="G514" s="9">
        <f>F514-F513</f>
        <v/>
      </c>
      <c r="H514" s="10">
        <f>IF(F513=0,0,G514/F513)</f>
        <v/>
      </c>
      <c r="I514" s="8">
        <f>D514-E514</f>
        <v/>
      </c>
      <c r="J514" s="4">
        <f>IF(F514&gt;C514,"Up",IF(F514&lt;C514,"Down","Flat"))</f>
        <v/>
      </c>
      <c r="K514" s="14" t="n">
        <v>22.63</v>
      </c>
      <c r="L514" s="15" t="n">
        <v>59.41</v>
      </c>
      <c r="M514" s="14" t="n">
        <v>1900.61</v>
      </c>
      <c r="N514" s="14" t="n">
        <v>1918.14</v>
      </c>
      <c r="O514" s="14" t="n">
        <v>1916.39</v>
      </c>
      <c r="P514" s="4">
        <f>IF(O514="","",IF(F514&gt;O514,"Above","Below"))</f>
        <v/>
      </c>
      <c r="Q514" s="16" t="n">
        <v>165063</v>
      </c>
      <c r="R514" s="17" t="n">
        <v>0</v>
      </c>
      <c r="S514" s="17" t="n">
        <v>0</v>
      </c>
      <c r="T514" s="17" t="n">
        <v>0</v>
      </c>
      <c r="U514" s="18" t="n">
        <v>0</v>
      </c>
    </row>
    <row r="515">
      <c r="A515" s="13" t="n">
        <v>45217</v>
      </c>
      <c r="B515" s="4">
        <f>TEXT(A515,"ddd")</f>
        <v/>
      </c>
      <c r="C515" s="14" t="n">
        <v>1936.7</v>
      </c>
      <c r="D515" s="14" t="n">
        <v>1975.8</v>
      </c>
      <c r="E515" s="14" t="n">
        <v>1935.9</v>
      </c>
      <c r="F515" s="14" t="n">
        <v>1968.3</v>
      </c>
      <c r="G515" s="9">
        <f>F515-F514</f>
        <v/>
      </c>
      <c r="H515" s="10">
        <f>IF(F514=0,0,G515/F514)</f>
        <v/>
      </c>
      <c r="I515" s="8">
        <f>D515-E515</f>
        <v/>
      </c>
      <c r="J515" s="4">
        <f>IF(F515&gt;C515,"Up",IF(F515&lt;C515,"Down","Flat"))</f>
        <v/>
      </c>
      <c r="K515" s="14" t="n">
        <v>23.88</v>
      </c>
      <c r="L515" s="15" t="n">
        <v>66.15000000000001</v>
      </c>
      <c r="M515" s="14" t="n">
        <v>1907.05</v>
      </c>
      <c r="N515" s="14" t="n">
        <v>1920.1</v>
      </c>
      <c r="O515" s="14" t="n">
        <v>1916.9</v>
      </c>
      <c r="P515" s="4">
        <f>IF(O515="","",IF(F515&gt;O515,"Above","Below"))</f>
        <v/>
      </c>
      <c r="Q515" s="16" t="n">
        <v>270045</v>
      </c>
      <c r="R515" s="17" t="n">
        <v>0</v>
      </c>
      <c r="S515" s="17" t="n">
        <v>0</v>
      </c>
      <c r="T515" s="17" t="n">
        <v>0</v>
      </c>
      <c r="U515" s="18" t="n">
        <v>0</v>
      </c>
    </row>
    <row r="516">
      <c r="A516" s="13" t="n">
        <v>45218</v>
      </c>
      <c r="B516" s="4">
        <f>TEXT(A516,"ddd")</f>
        <v/>
      </c>
      <c r="C516" s="14" t="n">
        <v>1960.1</v>
      </c>
      <c r="D516" s="14" t="n">
        <v>1990.2</v>
      </c>
      <c r="E516" s="14" t="n">
        <v>1957</v>
      </c>
      <c r="F516" s="14" t="n">
        <v>1980.5</v>
      </c>
      <c r="G516" s="9">
        <f>F516-F515</f>
        <v/>
      </c>
      <c r="H516" s="10">
        <f>IF(F515=0,0,G516/F515)</f>
        <v/>
      </c>
      <c r="I516" s="8">
        <f>D516-E516</f>
        <v/>
      </c>
      <c r="J516" s="4">
        <f>IF(F516&gt;C516,"Up",IF(F516&lt;C516,"Down","Flat"))</f>
        <v/>
      </c>
      <c r="K516" s="14" t="n">
        <v>24.55</v>
      </c>
      <c r="L516" s="15" t="n">
        <v>68.28</v>
      </c>
      <c r="M516" s="14" t="n">
        <v>1914.05</v>
      </c>
      <c r="N516" s="14" t="n">
        <v>1922.47</v>
      </c>
      <c r="O516" s="14" t="n">
        <v>1917.54</v>
      </c>
      <c r="P516" s="4">
        <f>IF(O516="","",IF(F516&gt;O516,"Above","Below"))</f>
        <v/>
      </c>
      <c r="Q516" s="16" t="n">
        <v>264821</v>
      </c>
      <c r="R516" s="17" t="n">
        <v>0</v>
      </c>
      <c r="S516" s="17" t="n">
        <v>0</v>
      </c>
      <c r="T516" s="17" t="n">
        <v>0</v>
      </c>
      <c r="U516" s="18" t="n">
        <v>0</v>
      </c>
    </row>
    <row r="517">
      <c r="A517" s="13" t="n">
        <v>45219</v>
      </c>
      <c r="B517" s="4">
        <f>TEXT(A517,"ddd")</f>
        <v/>
      </c>
      <c r="C517" s="14" t="n">
        <v>1988</v>
      </c>
      <c r="D517" s="14" t="n">
        <v>2009.2</v>
      </c>
      <c r="E517" s="14" t="n">
        <v>1983.7</v>
      </c>
      <c r="F517" s="14" t="n">
        <v>1994.4</v>
      </c>
      <c r="G517" s="9">
        <f>F517-F516</f>
        <v/>
      </c>
      <c r="H517" s="10">
        <f>IF(F516=0,0,G517/F516)</f>
        <v/>
      </c>
      <c r="I517" s="8">
        <f>D517-E517</f>
        <v/>
      </c>
      <c r="J517" s="4">
        <f>IF(F517&gt;C517,"Up",IF(F517&lt;C517,"Down","Flat"))</f>
        <v/>
      </c>
      <c r="K517" s="14" t="n">
        <v>24.84</v>
      </c>
      <c r="L517" s="15" t="n">
        <v>70.54000000000001</v>
      </c>
      <c r="M517" s="14" t="n">
        <v>1921.7</v>
      </c>
      <c r="N517" s="14" t="n">
        <v>1925.29</v>
      </c>
      <c r="O517" s="14" t="n">
        <v>1918.3</v>
      </c>
      <c r="P517" s="4">
        <f>IF(O517="","",IF(F517&gt;O517,"Above","Below"))</f>
        <v/>
      </c>
      <c r="Q517" s="16" t="n">
        <v>289109</v>
      </c>
      <c r="R517" s="17" t="n">
        <v>0</v>
      </c>
      <c r="S517" s="17" t="n">
        <v>0</v>
      </c>
      <c r="T517" s="17" t="n">
        <v>0</v>
      </c>
      <c r="U517" s="18" t="n">
        <v>0</v>
      </c>
    </row>
    <row r="518">
      <c r="A518" s="13" t="n">
        <v>45222</v>
      </c>
      <c r="B518" s="4">
        <f>TEXT(A518,"ddd")</f>
        <v/>
      </c>
      <c r="C518" s="14" t="n">
        <v>1987.7</v>
      </c>
      <c r="D518" s="14" t="n">
        <v>1994.3</v>
      </c>
      <c r="E518" s="14" t="n">
        <v>1971</v>
      </c>
      <c r="F518" s="14" t="n">
        <v>1987.8</v>
      </c>
      <c r="G518" s="9">
        <f>F518-F517</f>
        <v/>
      </c>
      <c r="H518" s="10">
        <f>IF(F517=0,0,G518/F517)</f>
        <v/>
      </c>
      <c r="I518" s="8">
        <f>D518-E518</f>
        <v/>
      </c>
      <c r="J518" s="4">
        <f>IF(F518&gt;C518,"Up",IF(F518&lt;C518,"Down","Flat"))</f>
        <v/>
      </c>
      <c r="K518" s="14" t="n">
        <v>24.74</v>
      </c>
      <c r="L518" s="15" t="n">
        <v>68.06</v>
      </c>
      <c r="M518" s="14" t="n">
        <v>1928</v>
      </c>
      <c r="N518" s="14" t="n">
        <v>1927.74</v>
      </c>
      <c r="O518" s="14" t="n">
        <v>1918.99</v>
      </c>
      <c r="P518" s="4">
        <f>IF(O518="","",IF(F518&gt;O518,"Above","Below"))</f>
        <v/>
      </c>
      <c r="Q518" s="16" t="n">
        <v>212290</v>
      </c>
      <c r="R518" s="17" t="n">
        <v>0</v>
      </c>
      <c r="S518" s="17" t="n">
        <v>0</v>
      </c>
      <c r="T518" s="17" t="n">
        <v>0</v>
      </c>
      <c r="U518" s="18" t="n">
        <v>0</v>
      </c>
    </row>
    <row r="519">
      <c r="A519" s="13" t="n">
        <v>45223</v>
      </c>
      <c r="B519" s="4">
        <f>TEXT(A519,"ddd")</f>
        <v/>
      </c>
      <c r="C519" s="14" t="n">
        <v>1984.1</v>
      </c>
      <c r="D519" s="14" t="n">
        <v>1992</v>
      </c>
      <c r="E519" s="14" t="n">
        <v>1964.6</v>
      </c>
      <c r="F519" s="14" t="n">
        <v>1986.1</v>
      </c>
      <c r="G519" s="9">
        <f>F519-F518</f>
        <v/>
      </c>
      <c r="H519" s="10">
        <f>IF(F518=0,0,G519/F518)</f>
        <v/>
      </c>
      <c r="I519" s="8">
        <f>D519-E519</f>
        <v/>
      </c>
      <c r="J519" s="4">
        <f>IF(F519&gt;C519,"Up",IF(F519&lt;C519,"Down","Flat"))</f>
        <v/>
      </c>
      <c r="K519" s="14" t="n">
        <v>24.93</v>
      </c>
      <c r="L519" s="15" t="n">
        <v>67.40000000000001</v>
      </c>
      <c r="M519" s="14" t="n">
        <v>1933.53</v>
      </c>
      <c r="N519" s="14" t="n">
        <v>1930.03</v>
      </c>
      <c r="O519" s="14" t="n">
        <v>1919.66</v>
      </c>
      <c r="P519" s="4">
        <f>IF(O519="","",IF(F519&gt;O519,"Above","Below"))</f>
        <v/>
      </c>
      <c r="Q519" s="16" t="n">
        <v>200943</v>
      </c>
      <c r="R519" s="17" t="n">
        <v>0</v>
      </c>
      <c r="S519" s="17" t="n">
        <v>0</v>
      </c>
      <c r="T519" s="17" t="n">
        <v>0</v>
      </c>
      <c r="U519" s="18" t="n">
        <v>0</v>
      </c>
    </row>
    <row r="520">
      <c r="A520" s="13" t="n">
        <v>45224</v>
      </c>
      <c r="B520" s="4">
        <f>TEXT(A520,"ddd")</f>
        <v/>
      </c>
      <c r="C520" s="14" t="n">
        <v>1982.7</v>
      </c>
      <c r="D520" s="14" t="n">
        <v>1998.6</v>
      </c>
      <c r="E520" s="14" t="n">
        <v>1973.6</v>
      </c>
      <c r="F520" s="14" t="n">
        <v>1994.9</v>
      </c>
      <c r="G520" s="9">
        <f>F520-F519</f>
        <v/>
      </c>
      <c r="H520" s="10">
        <f>IF(F519=0,0,G520/F519)</f>
        <v/>
      </c>
      <c r="I520" s="8">
        <f>D520-E520</f>
        <v/>
      </c>
      <c r="J520" s="4">
        <f>IF(F520&gt;C520,"Up",IF(F520&lt;C520,"Down","Flat"))</f>
        <v/>
      </c>
      <c r="K520" s="14" t="n">
        <v>24.93</v>
      </c>
      <c r="L520" s="15" t="n">
        <v>69.06999999999999</v>
      </c>
      <c r="M520" s="14" t="n">
        <v>1939.37</v>
      </c>
      <c r="N520" s="14" t="n">
        <v>1932.58</v>
      </c>
      <c r="O520" s="14" t="n">
        <v>1920.41</v>
      </c>
      <c r="P520" s="4">
        <f>IF(O520="","",IF(F520&gt;O520,"Above","Below"))</f>
        <v/>
      </c>
      <c r="Q520" s="16" t="n">
        <v>240655</v>
      </c>
      <c r="R520" s="17" t="n">
        <v>0</v>
      </c>
      <c r="S520" s="17" t="n">
        <v>0</v>
      </c>
      <c r="T520" s="17" t="n">
        <v>0</v>
      </c>
      <c r="U520" s="18" t="n">
        <v>0</v>
      </c>
    </row>
    <row r="521">
      <c r="A521" s="13" t="n">
        <v>45225</v>
      </c>
      <c r="B521" s="4">
        <f>TEXT(A521,"ddd")</f>
        <v/>
      </c>
      <c r="C521" s="14" t="n">
        <v>1991.2</v>
      </c>
      <c r="D521" s="14" t="n">
        <v>2003.7</v>
      </c>
      <c r="E521" s="14" t="n">
        <v>1981.6</v>
      </c>
      <c r="F521" s="14" t="n">
        <v>1997.4</v>
      </c>
      <c r="G521" s="9">
        <f>F521-F520</f>
        <v/>
      </c>
      <c r="H521" s="10">
        <f>IF(F520=0,0,G521/F520)</f>
        <v/>
      </c>
      <c r="I521" s="8">
        <f>D521-E521</f>
        <v/>
      </c>
      <c r="J521" s="4">
        <f>IF(F521&gt;C521,"Up",IF(F521&lt;C521,"Down","Flat"))</f>
        <v/>
      </c>
      <c r="K521" s="14" t="n">
        <v>24.73</v>
      </c>
      <c r="L521" s="15" t="n">
        <v>69.54000000000001</v>
      </c>
      <c r="M521" s="14" t="n">
        <v>1944.9</v>
      </c>
      <c r="N521" s="14" t="n">
        <v>1935.12</v>
      </c>
      <c r="O521" s="14" t="n">
        <v>1921.18</v>
      </c>
      <c r="P521" s="4">
        <f>IF(O521="","",IF(F521&gt;O521,"Above","Below"))</f>
        <v/>
      </c>
      <c r="Q521" s="16" t="n">
        <v>214053</v>
      </c>
      <c r="R521" s="17" t="n">
        <v>0</v>
      </c>
      <c r="S521" s="17" t="n">
        <v>0</v>
      </c>
      <c r="T521" s="17" t="n">
        <v>0</v>
      </c>
      <c r="U521" s="18" t="n">
        <v>0</v>
      </c>
    </row>
    <row r="522">
      <c r="A522" s="13" t="n">
        <v>45226</v>
      </c>
      <c r="B522" s="4">
        <f>TEXT(A522,"ddd")</f>
        <v/>
      </c>
      <c r="C522" s="14" t="n">
        <v>1995</v>
      </c>
      <c r="D522" s="14" t="n">
        <v>2019.7</v>
      </c>
      <c r="E522" s="14" t="n">
        <v>1986.4</v>
      </c>
      <c r="F522" s="14" t="n">
        <v>1998.5</v>
      </c>
      <c r="G522" s="9">
        <f>F522-F521</f>
        <v/>
      </c>
      <c r="H522" s="10">
        <f>IF(F521=0,0,G522/F521)</f>
        <v/>
      </c>
      <c r="I522" s="8">
        <f>D522-E522</f>
        <v/>
      </c>
      <c r="J522" s="4">
        <f>IF(F522&gt;C522,"Up",IF(F522&lt;C522,"Down","Flat"))</f>
        <v/>
      </c>
      <c r="K522" s="14" t="n">
        <v>25.34</v>
      </c>
      <c r="L522" s="15" t="n">
        <v>69.77</v>
      </c>
      <c r="M522" s="14" t="n">
        <v>1950.01</v>
      </c>
      <c r="N522" s="14" t="n">
        <v>1937.6</v>
      </c>
      <c r="O522" s="14" t="n">
        <v>1921.95</v>
      </c>
      <c r="P522" s="4">
        <f>IF(O522="","",IF(F522&gt;O522,"Above","Below"))</f>
        <v/>
      </c>
      <c r="Q522" s="16" t="n">
        <v>213757</v>
      </c>
      <c r="R522" s="17" t="n">
        <v>0</v>
      </c>
      <c r="S522" s="17" t="n">
        <v>0</v>
      </c>
      <c r="T522" s="17" t="n">
        <v>0</v>
      </c>
      <c r="U522" s="18" t="n">
        <v>0</v>
      </c>
    </row>
    <row r="523">
      <c r="A523" s="13" t="n">
        <v>45229</v>
      </c>
      <c r="B523" s="4">
        <f>TEXT(A523,"ddd")</f>
        <v/>
      </c>
      <c r="C523" s="14" t="n">
        <v>2013.5</v>
      </c>
      <c r="D523" s="14" t="n">
        <v>2016.8</v>
      </c>
      <c r="E523" s="14" t="n">
        <v>1999.7</v>
      </c>
      <c r="F523" s="14" t="n">
        <v>2005.6</v>
      </c>
      <c r="G523" s="9">
        <f>F523-F522</f>
        <v/>
      </c>
      <c r="H523" s="10">
        <f>IF(F522=0,0,G523/F522)</f>
        <v/>
      </c>
      <c r="I523" s="8">
        <f>D523-E523</f>
        <v/>
      </c>
      <c r="J523" s="4">
        <f>IF(F523&gt;C523,"Up",IF(F523&lt;C523,"Down","Flat"))</f>
        <v/>
      </c>
      <c r="K523" s="14" t="n">
        <v>24.84</v>
      </c>
      <c r="L523" s="15" t="n">
        <v>71.22</v>
      </c>
      <c r="M523" s="14" t="n">
        <v>1955.3</v>
      </c>
      <c r="N523" s="14" t="n">
        <v>1940.27</v>
      </c>
      <c r="O523" s="14" t="n">
        <v>1922.78</v>
      </c>
      <c r="P523" s="4">
        <f>IF(O523="","",IF(F523&gt;O523,"Above","Below"))</f>
        <v/>
      </c>
      <c r="Q523" s="16" t="n">
        <v>181339</v>
      </c>
      <c r="R523" s="17" t="n">
        <v>0</v>
      </c>
      <c r="S523" s="17" t="n">
        <v>0</v>
      </c>
      <c r="T523" s="17" t="n">
        <v>0</v>
      </c>
      <c r="U523" s="18" t="n">
        <v>0</v>
      </c>
    </row>
    <row r="524">
      <c r="A524" s="13" t="n">
        <v>45230</v>
      </c>
      <c r="B524" s="4">
        <f>TEXT(A524,"ddd")</f>
        <v/>
      </c>
      <c r="C524" s="14" t="n">
        <v>2005.6</v>
      </c>
      <c r="D524" s="14" t="n">
        <v>2017.7</v>
      </c>
      <c r="E524" s="14" t="n">
        <v>1987.4</v>
      </c>
      <c r="F524" s="14" t="n">
        <v>1994.3</v>
      </c>
      <c r="G524" s="9">
        <f>F524-F523</f>
        <v/>
      </c>
      <c r="H524" s="10">
        <f>IF(F523=0,0,G524/F523)</f>
        <v/>
      </c>
      <c r="I524" s="8">
        <f>D524-E524</f>
        <v/>
      </c>
      <c r="J524" s="4">
        <f>IF(F524&gt;C524,"Up",IF(F524&lt;C524,"Down","Flat"))</f>
        <v/>
      </c>
      <c r="K524" s="14" t="n">
        <v>25.23</v>
      </c>
      <c r="L524" s="15" t="n">
        <v>65.8</v>
      </c>
      <c r="M524" s="14" t="n">
        <v>1959.01</v>
      </c>
      <c r="N524" s="14" t="n">
        <v>1942.39</v>
      </c>
      <c r="O524" s="14" t="n">
        <v>1923.49</v>
      </c>
      <c r="P524" s="4">
        <f>IF(O524="","",IF(F524&gt;O524,"Above","Below"))</f>
        <v/>
      </c>
      <c r="Q524" s="16" t="n">
        <v>214776</v>
      </c>
      <c r="R524" s="17" t="n">
        <v>0</v>
      </c>
      <c r="S524" s="17" t="n">
        <v>0</v>
      </c>
      <c r="T524" s="17" t="n">
        <v>0</v>
      </c>
      <c r="U524" s="18" t="n">
        <v>0</v>
      </c>
    </row>
    <row r="525">
      <c r="A525" s="13" t="n">
        <v>45231</v>
      </c>
      <c r="B525" s="4">
        <f>TEXT(A525,"ddd")</f>
        <v/>
      </c>
      <c r="C525" s="14" t="n">
        <v>1993.3</v>
      </c>
      <c r="D525" s="14" t="n">
        <v>2005.9</v>
      </c>
      <c r="E525" s="14" t="n">
        <v>1978.2</v>
      </c>
      <c r="F525" s="14" t="n">
        <v>1987.5</v>
      </c>
      <c r="G525" s="9">
        <f>F525-F524</f>
        <v/>
      </c>
      <c r="H525" s="10">
        <f>IF(F524=0,0,G525/F524)</f>
        <v/>
      </c>
      <c r="I525" s="8">
        <f>D525-E525</f>
        <v/>
      </c>
      <c r="J525" s="4">
        <f>IF(F525&gt;C525,"Up",IF(F525&lt;C525,"Down","Flat"))</f>
        <v/>
      </c>
      <c r="K525" s="14" t="n">
        <v>25.41</v>
      </c>
      <c r="L525" s="15" t="n">
        <v>62.71</v>
      </c>
      <c r="M525" s="14" t="n">
        <v>1961.73</v>
      </c>
      <c r="N525" s="14" t="n">
        <v>1944.16</v>
      </c>
      <c r="O525" s="14" t="n">
        <v>1924.13</v>
      </c>
      <c r="P525" s="4">
        <f>IF(O525="","",IF(F525&gt;O525,"Above","Below"))</f>
        <v/>
      </c>
      <c r="Q525" s="16" t="n">
        <v>197629</v>
      </c>
      <c r="R525" s="17" t="n">
        <v>0</v>
      </c>
      <c r="S525" s="17" t="n">
        <v>0</v>
      </c>
      <c r="T525" s="17" t="n">
        <v>0</v>
      </c>
      <c r="U525" s="18" t="n">
        <v>0</v>
      </c>
    </row>
    <row r="526">
      <c r="A526" s="13" t="n">
        <v>45232</v>
      </c>
      <c r="B526" s="4">
        <f>TEXT(A526,"ddd")</f>
        <v/>
      </c>
      <c r="C526" s="14" t="n">
        <v>1992</v>
      </c>
      <c r="D526" s="14" t="n">
        <v>1999.2</v>
      </c>
      <c r="E526" s="14" t="n">
        <v>1986.3</v>
      </c>
      <c r="F526" s="14" t="n">
        <v>1993.5</v>
      </c>
      <c r="G526" s="9">
        <f>F526-F525</f>
        <v/>
      </c>
      <c r="H526" s="10">
        <f>IF(F525=0,0,G526/F525)</f>
        <v/>
      </c>
      <c r="I526" s="8">
        <f>D526-E526</f>
        <v/>
      </c>
      <c r="J526" s="4">
        <f>IF(F526&gt;C526,"Up",IF(F526&lt;C526,"Down","Flat"))</f>
        <v/>
      </c>
      <c r="K526" s="14" t="n">
        <v>24.51</v>
      </c>
      <c r="L526" s="15" t="n">
        <v>64.3</v>
      </c>
      <c r="M526" s="14" t="n">
        <v>1964.75</v>
      </c>
      <c r="N526" s="14" t="n">
        <v>1946.09</v>
      </c>
      <c r="O526" s="14" t="n">
        <v>1924.82</v>
      </c>
      <c r="P526" s="4">
        <f>IF(O526="","",IF(F526&gt;O526,"Above","Below"))</f>
        <v/>
      </c>
      <c r="Q526" s="16" t="n">
        <v>158650</v>
      </c>
      <c r="R526" s="17" t="n">
        <v>0</v>
      </c>
      <c r="S526" s="17" t="n">
        <v>0</v>
      </c>
      <c r="T526" s="17" t="n">
        <v>0</v>
      </c>
      <c r="U526" s="18" t="n">
        <v>0</v>
      </c>
    </row>
    <row r="527">
      <c r="A527" s="13" t="n">
        <v>45233</v>
      </c>
      <c r="B527" s="4">
        <f>TEXT(A527,"ddd")</f>
        <v/>
      </c>
      <c r="C527" s="14" t="n">
        <v>1993.5</v>
      </c>
      <c r="D527" s="14" t="n">
        <v>2011.9</v>
      </c>
      <c r="E527" s="14" t="n">
        <v>1989.3</v>
      </c>
      <c r="F527" s="14" t="n">
        <v>1999.2</v>
      </c>
      <c r="G527" s="9">
        <f>F527-F526</f>
        <v/>
      </c>
      <c r="H527" s="10">
        <f>IF(F526=0,0,G527/F526)</f>
        <v/>
      </c>
      <c r="I527" s="8">
        <f>D527-E527</f>
        <v/>
      </c>
      <c r="J527" s="4">
        <f>IF(F527&gt;C527,"Up",IF(F527&lt;C527,"Down","Flat"))</f>
        <v/>
      </c>
      <c r="K527" s="14" t="n">
        <v>24.38</v>
      </c>
      <c r="L527" s="15" t="n">
        <v>65.8</v>
      </c>
      <c r="M527" s="14" t="n">
        <v>1968.03</v>
      </c>
      <c r="N527" s="14" t="n">
        <v>1948.18</v>
      </c>
      <c r="O527" s="14" t="n">
        <v>1925.56</v>
      </c>
      <c r="P527" s="4">
        <f>IF(O527="","",IF(F527&gt;O527,"Above","Below"))</f>
        <v/>
      </c>
      <c r="Q527" s="16" t="n">
        <v>222189</v>
      </c>
      <c r="R527" s="17" t="n">
        <v>0</v>
      </c>
      <c r="S527" s="17" t="n">
        <v>0</v>
      </c>
      <c r="T527" s="17" t="n">
        <v>0</v>
      </c>
      <c r="U527" s="18" t="n">
        <v>0</v>
      </c>
    </row>
    <row r="528">
      <c r="A528" s="13" t="n">
        <v>45236</v>
      </c>
      <c r="B528" s="4">
        <f>TEXT(A528,"ddd")</f>
        <v/>
      </c>
      <c r="C528" s="14" t="n">
        <v>1999.4</v>
      </c>
      <c r="D528" s="14" t="n">
        <v>2000.1</v>
      </c>
      <c r="E528" s="14" t="n">
        <v>1984.2</v>
      </c>
      <c r="F528" s="14" t="n">
        <v>1988.6</v>
      </c>
      <c r="G528" s="9">
        <f>F528-F527</f>
        <v/>
      </c>
      <c r="H528" s="10">
        <f>IF(F527=0,0,G528/F527)</f>
        <v/>
      </c>
      <c r="I528" s="8">
        <f>D528-E528</f>
        <v/>
      </c>
      <c r="J528" s="4">
        <f>IF(F528&gt;C528,"Up",IF(F528&lt;C528,"Down","Flat"))</f>
        <v/>
      </c>
      <c r="K528" s="14" t="n">
        <v>23.77</v>
      </c>
      <c r="L528" s="15" t="n">
        <v>60.71</v>
      </c>
      <c r="M528" s="14" t="n">
        <v>1969.99</v>
      </c>
      <c r="N528" s="14" t="n">
        <v>1949.76</v>
      </c>
      <c r="O528" s="14" t="n">
        <v>1926.18</v>
      </c>
      <c r="P528" s="4">
        <f>IF(O528="","",IF(F528&gt;O528,"Above","Below"))</f>
        <v/>
      </c>
      <c r="Q528" s="16" t="n">
        <v>146279</v>
      </c>
      <c r="R528" s="17" t="n">
        <v>0</v>
      </c>
      <c r="S528" s="17" t="n">
        <v>0</v>
      </c>
      <c r="T528" s="17" t="n">
        <v>0</v>
      </c>
      <c r="U528" s="18" t="n">
        <v>0</v>
      </c>
    </row>
    <row r="529">
      <c r="A529" s="13" t="n">
        <v>45237</v>
      </c>
      <c r="B529" s="4">
        <f>TEXT(A529,"ddd")</f>
        <v/>
      </c>
      <c r="C529" s="14" t="n">
        <v>1984.8</v>
      </c>
      <c r="D529" s="14" t="n">
        <v>1985.2</v>
      </c>
      <c r="E529" s="14" t="n">
        <v>1962.8</v>
      </c>
      <c r="F529" s="14" t="n">
        <v>1973.5</v>
      </c>
      <c r="G529" s="9">
        <f>F529-F528</f>
        <v/>
      </c>
      <c r="H529" s="10">
        <f>IF(F528=0,0,G529/F528)</f>
        <v/>
      </c>
      <c r="I529" s="8">
        <f>D529-E529</f>
        <v/>
      </c>
      <c r="J529" s="4">
        <f>IF(F529&gt;C529,"Up",IF(F529&lt;C529,"Down","Flat"))</f>
        <v/>
      </c>
      <c r="K529" s="14" t="n">
        <v>23.92</v>
      </c>
      <c r="L529" s="15" t="n">
        <v>54.26</v>
      </c>
      <c r="M529" s="14" t="n">
        <v>1970.33</v>
      </c>
      <c r="N529" s="14" t="n">
        <v>1950.69</v>
      </c>
      <c r="O529" s="14" t="n">
        <v>1926.65</v>
      </c>
      <c r="P529" s="4">
        <f>IF(O529="","",IF(F529&gt;O529,"Above","Below"))</f>
        <v/>
      </c>
      <c r="Q529" s="16" t="n">
        <v>218948</v>
      </c>
      <c r="R529" s="17" t="n">
        <v>0</v>
      </c>
      <c r="S529" s="17" t="n">
        <v>0</v>
      </c>
      <c r="T529" s="17" t="n">
        <v>0</v>
      </c>
      <c r="U529" s="18" t="n">
        <v>0</v>
      </c>
    </row>
    <row r="530">
      <c r="A530" s="13" t="n">
        <v>45238</v>
      </c>
      <c r="B530" s="4">
        <f>TEXT(A530,"ddd")</f>
        <v/>
      </c>
      <c r="C530" s="14" t="n">
        <v>1975.3</v>
      </c>
      <c r="D530" s="14" t="n">
        <v>1977.5</v>
      </c>
      <c r="E530" s="14" t="n">
        <v>1953.2</v>
      </c>
      <c r="F530" s="14" t="n">
        <v>1957.8</v>
      </c>
      <c r="G530" s="9">
        <f>F530-F529</f>
        <v/>
      </c>
      <c r="H530" s="10">
        <f>IF(F529=0,0,G530/F529)</f>
        <v/>
      </c>
      <c r="I530" s="8">
        <f>D530-E530</f>
        <v/>
      </c>
      <c r="J530" s="4">
        <f>IF(F530&gt;C530,"Up",IF(F530&lt;C530,"Down","Flat"))</f>
        <v/>
      </c>
      <c r="K530" s="14" t="n">
        <v>23.94</v>
      </c>
      <c r="L530" s="15" t="n">
        <v>48.5</v>
      </c>
      <c r="M530" s="14" t="n">
        <v>1969.13</v>
      </c>
      <c r="N530" s="14" t="n">
        <v>1950.97</v>
      </c>
      <c r="O530" s="14" t="n">
        <v>1926.96</v>
      </c>
      <c r="P530" s="4">
        <f>IF(O530="","",IF(F530&gt;O530,"Above","Below"))</f>
        <v/>
      </c>
      <c r="Q530" s="16" t="n">
        <v>189359</v>
      </c>
      <c r="R530" s="17" t="n">
        <v>0</v>
      </c>
      <c r="S530" s="17" t="n">
        <v>0</v>
      </c>
      <c r="T530" s="17" t="n">
        <v>0</v>
      </c>
      <c r="U530" s="18" t="n">
        <v>0</v>
      </c>
    </row>
    <row r="531">
      <c r="A531" s="13" t="n">
        <v>45239</v>
      </c>
      <c r="B531" s="4">
        <f>TEXT(A531,"ddd")</f>
        <v/>
      </c>
      <c r="C531" s="14" t="n">
        <v>1955.5</v>
      </c>
      <c r="D531" s="14" t="n">
        <v>1971.5</v>
      </c>
      <c r="E531" s="14" t="n">
        <v>1948.3</v>
      </c>
      <c r="F531" s="14" t="n">
        <v>1969.8</v>
      </c>
      <c r="G531" s="9">
        <f>F531-F530</f>
        <v/>
      </c>
      <c r="H531" s="10">
        <f>IF(F530=0,0,G531/F530)</f>
        <v/>
      </c>
      <c r="I531" s="8">
        <f>D531-E531</f>
        <v/>
      </c>
      <c r="J531" s="4">
        <f>IF(F531&gt;C531,"Up",IF(F531&lt;C531,"Down","Flat"))</f>
        <v/>
      </c>
      <c r="K531" s="14" t="n">
        <v>23.89</v>
      </c>
      <c r="L531" s="15" t="n">
        <v>52.64</v>
      </c>
      <c r="M531" s="14" t="n">
        <v>1969.2</v>
      </c>
      <c r="N531" s="14" t="n">
        <v>1951.71</v>
      </c>
      <c r="O531" s="14" t="n">
        <v>1927.39</v>
      </c>
      <c r="P531" s="4">
        <f>IF(O531="","",IF(F531&gt;O531,"Above","Below"))</f>
        <v/>
      </c>
      <c r="Q531" s="16" t="n">
        <v>214077</v>
      </c>
      <c r="R531" s="17" t="n">
        <v>0</v>
      </c>
      <c r="S531" s="17" t="n">
        <v>0</v>
      </c>
      <c r="T531" s="17" t="n">
        <v>0</v>
      </c>
      <c r="U531" s="18" t="n">
        <v>0</v>
      </c>
    </row>
    <row r="532">
      <c r="A532" s="13" t="n">
        <v>45240</v>
      </c>
      <c r="B532" s="4">
        <f>TEXT(A532,"ddd")</f>
        <v/>
      </c>
      <c r="C532" s="14" t="n">
        <v>1964.1</v>
      </c>
      <c r="D532" s="14" t="n">
        <v>1965.6</v>
      </c>
      <c r="E532" s="14" t="n">
        <v>1936.9</v>
      </c>
      <c r="F532" s="14" t="n">
        <v>1937.7</v>
      </c>
      <c r="G532" s="9">
        <f>F532-F531</f>
        <v/>
      </c>
      <c r="H532" s="10">
        <f>IF(F531=0,0,G532/F531)</f>
        <v/>
      </c>
      <c r="I532" s="8">
        <f>D532-E532</f>
        <v/>
      </c>
      <c r="J532" s="4">
        <f>IF(F532&gt;C532,"Up",IF(F532&lt;C532,"Down","Flat"))</f>
        <v/>
      </c>
      <c r="K532" s="14" t="n">
        <v>24.53</v>
      </c>
      <c r="L532" s="15" t="n">
        <v>42.74</v>
      </c>
      <c r="M532" s="14" t="n">
        <v>1966.2</v>
      </c>
      <c r="N532" s="14" t="n">
        <v>1951.16</v>
      </c>
      <c r="O532" s="14" t="n">
        <v>1927.49</v>
      </c>
      <c r="P532" s="4">
        <f>IF(O532="","",IF(F532&gt;O532,"Above","Below"))</f>
        <v/>
      </c>
      <c r="Q532" s="16" t="n">
        <v>229637</v>
      </c>
      <c r="R532" s="17" t="n">
        <v>0</v>
      </c>
      <c r="S532" s="17" t="n">
        <v>0</v>
      </c>
      <c r="T532" s="17" t="n">
        <v>0</v>
      </c>
      <c r="U532" s="18" t="n">
        <v>0</v>
      </c>
    </row>
    <row r="533">
      <c r="A533" s="13" t="n">
        <v>45243</v>
      </c>
      <c r="B533" s="4">
        <f>TEXT(A533,"ddd")</f>
        <v/>
      </c>
      <c r="C533" s="14" t="n">
        <v>1943.4</v>
      </c>
      <c r="D533" s="14" t="n">
        <v>1953.5</v>
      </c>
      <c r="E533" s="14" t="n">
        <v>1935.6</v>
      </c>
      <c r="F533" s="14" t="n">
        <v>1950.2</v>
      </c>
      <c r="G533" s="9">
        <f>F533-F532</f>
        <v/>
      </c>
      <c r="H533" s="10">
        <f>IF(F532=0,0,G533/F532)</f>
        <v/>
      </c>
      <c r="I533" s="8">
        <f>D533-E533</f>
        <v/>
      </c>
      <c r="J533" s="4">
        <f>IF(F533&gt;C533,"Up",IF(F533&lt;C533,"Down","Flat"))</f>
        <v/>
      </c>
      <c r="K533" s="14" t="n">
        <v>24.06</v>
      </c>
      <c r="L533" s="15" t="n">
        <v>46.93</v>
      </c>
      <c r="M533" s="14" t="n">
        <v>1964.67</v>
      </c>
      <c r="N533" s="14" t="n">
        <v>1951.12</v>
      </c>
      <c r="O533" s="14" t="n">
        <v>1927.72</v>
      </c>
      <c r="P533" s="4">
        <f>IF(O533="","",IF(F533&gt;O533,"Above","Below"))</f>
        <v/>
      </c>
      <c r="Q533" s="16" t="n">
        <v>183702</v>
      </c>
      <c r="R533" s="17" t="n">
        <v>0</v>
      </c>
      <c r="S533" s="17" t="n">
        <v>0</v>
      </c>
      <c r="T533" s="17" t="n">
        <v>0</v>
      </c>
      <c r="U533" s="18" t="n">
        <v>0</v>
      </c>
    </row>
    <row r="534">
      <c r="A534" s="13" t="n">
        <v>45244</v>
      </c>
      <c r="B534" s="4">
        <f>TEXT(A534,"ddd")</f>
        <v/>
      </c>
      <c r="C534" s="14" t="n">
        <v>1950.3</v>
      </c>
      <c r="D534" s="14" t="n">
        <v>1975.3</v>
      </c>
      <c r="E534" s="14" t="n">
        <v>1938.8</v>
      </c>
      <c r="F534" s="14" t="n">
        <v>1966.5</v>
      </c>
      <c r="G534" s="9">
        <f>F534-F533</f>
        <v/>
      </c>
      <c r="H534" s="10">
        <f>IF(F533=0,0,G534/F533)</f>
        <v/>
      </c>
      <c r="I534" s="8">
        <f>D534-E534</f>
        <v/>
      </c>
      <c r="J534" s="4">
        <f>IF(F534&gt;C534,"Up",IF(F534&lt;C534,"Down","Flat"))</f>
        <v/>
      </c>
      <c r="K534" s="14" t="n">
        <v>24.95</v>
      </c>
      <c r="L534" s="15" t="n">
        <v>51.87</v>
      </c>
      <c r="M534" s="14" t="n">
        <v>1964.85</v>
      </c>
      <c r="N534" s="14" t="n">
        <v>1951.73</v>
      </c>
      <c r="O534" s="14" t="n">
        <v>1928.11</v>
      </c>
      <c r="P534" s="4">
        <f>IF(O534="","",IF(F534&gt;O534,"Above","Below"))</f>
        <v/>
      </c>
      <c r="Q534" s="16" t="n">
        <v>180741</v>
      </c>
      <c r="R534" s="17" t="n">
        <v>0</v>
      </c>
      <c r="S534" s="17" t="n">
        <v>0</v>
      </c>
      <c r="T534" s="17" t="n">
        <v>0</v>
      </c>
      <c r="U534" s="18" t="n">
        <v>0</v>
      </c>
    </row>
    <row r="535">
      <c r="A535" s="13" t="n">
        <v>45245</v>
      </c>
      <c r="B535" s="4">
        <f>TEXT(A535,"ddd")</f>
        <v/>
      </c>
      <c r="C535" s="14" t="n">
        <v>1966.9</v>
      </c>
      <c r="D535" s="14" t="n">
        <v>1979.2</v>
      </c>
      <c r="E535" s="14" t="n">
        <v>1958.8</v>
      </c>
      <c r="F535" s="14" t="n">
        <v>1964.3</v>
      </c>
      <c r="G535" s="9">
        <f>F535-F534</f>
        <v/>
      </c>
      <c r="H535" s="10">
        <f>IF(F534=0,0,G535/F534)</f>
        <v/>
      </c>
      <c r="I535" s="8">
        <f>D535-E535</f>
        <v/>
      </c>
      <c r="J535" s="4">
        <f>IF(F535&gt;C535,"Up",IF(F535&lt;C535,"Down","Flat"))</f>
        <v/>
      </c>
      <c r="K535" s="14" t="n">
        <v>24.62</v>
      </c>
      <c r="L535" s="15" t="n">
        <v>51.18</v>
      </c>
      <c r="M535" s="14" t="n">
        <v>1964.8</v>
      </c>
      <c r="N535" s="14" t="n">
        <v>1952.22</v>
      </c>
      <c r="O535" s="14" t="n">
        <v>1928.47</v>
      </c>
      <c r="P535" s="4">
        <f>IF(O535="","",IF(F535&gt;O535,"Above","Below"))</f>
        <v/>
      </c>
      <c r="Q535" s="16" t="n">
        <v>142924</v>
      </c>
      <c r="R535" s="17" t="n">
        <v>0</v>
      </c>
      <c r="S535" s="17" t="n">
        <v>0</v>
      </c>
      <c r="T535" s="17" t="n">
        <v>0</v>
      </c>
      <c r="U535" s="18" t="n">
        <v>0</v>
      </c>
    </row>
    <row r="536">
      <c r="A536" s="13" t="n">
        <v>45246</v>
      </c>
      <c r="B536" s="4">
        <f>TEXT(A536,"ddd")</f>
        <v/>
      </c>
      <c r="C536" s="14" t="n">
        <v>1963</v>
      </c>
      <c r="D536" s="14" t="n">
        <v>1991.1</v>
      </c>
      <c r="E536" s="14" t="n">
        <v>1959</v>
      </c>
      <c r="F536" s="14" t="n">
        <v>1987.3</v>
      </c>
      <c r="G536" s="9">
        <f>F536-F535</f>
        <v/>
      </c>
      <c r="H536" s="10">
        <f>IF(F535=0,0,G536/F535)</f>
        <v/>
      </c>
      <c r="I536" s="8">
        <f>D536-E536</f>
        <v/>
      </c>
      <c r="J536" s="4">
        <f>IF(F536&gt;C536,"Up",IF(F536&lt;C536,"Down","Flat"))</f>
        <v/>
      </c>
      <c r="K536" s="14" t="n">
        <v>25.16</v>
      </c>
      <c r="L536" s="15" t="n">
        <v>57.56</v>
      </c>
      <c r="M536" s="14" t="n">
        <v>1966.94</v>
      </c>
      <c r="N536" s="14" t="n">
        <v>1953.59</v>
      </c>
      <c r="O536" s="14" t="n">
        <v>1929.05</v>
      </c>
      <c r="P536" s="4">
        <f>IF(O536="","",IF(F536&gt;O536,"Above","Below"))</f>
        <v/>
      </c>
      <c r="Q536" s="16" t="n">
        <v>186810</v>
      </c>
      <c r="R536" s="17" t="n">
        <v>0</v>
      </c>
      <c r="S536" s="17" t="n">
        <v>0</v>
      </c>
      <c r="T536" s="17" t="n">
        <v>0</v>
      </c>
      <c r="U536" s="18" t="n">
        <v>0</v>
      </c>
    </row>
    <row r="537">
      <c r="A537" s="13" t="n">
        <v>45247</v>
      </c>
      <c r="B537" s="4">
        <f>TEXT(A537,"ddd")</f>
        <v/>
      </c>
      <c r="C537" s="14" t="n">
        <v>1984.2</v>
      </c>
      <c r="D537" s="14" t="n">
        <v>1996.4</v>
      </c>
      <c r="E537" s="14" t="n">
        <v>1981.1</v>
      </c>
      <c r="F537" s="14" t="n">
        <v>1984.7</v>
      </c>
      <c r="G537" s="9">
        <f>F537-F536</f>
        <v/>
      </c>
      <c r="H537" s="10">
        <f>IF(F536=0,0,G537/F536)</f>
        <v/>
      </c>
      <c r="I537" s="8">
        <f>D537-E537</f>
        <v/>
      </c>
      <c r="J537" s="4">
        <f>IF(F537&gt;C537,"Up",IF(F537&lt;C537,"Down","Flat"))</f>
        <v/>
      </c>
      <c r="K537" s="14" t="n">
        <v>24.45</v>
      </c>
      <c r="L537" s="15" t="n">
        <v>56.65</v>
      </c>
      <c r="M537" s="14" t="n">
        <v>1968.63</v>
      </c>
      <c r="N537" s="14" t="n">
        <v>1954.81</v>
      </c>
      <c r="O537" s="14" t="n">
        <v>1929.6</v>
      </c>
      <c r="P537" s="4">
        <f>IF(O537="","",IF(F537&gt;O537,"Above","Below"))</f>
        <v/>
      </c>
      <c r="Q537" s="16" t="n">
        <v>133120</v>
      </c>
      <c r="R537" s="17" t="n">
        <v>0</v>
      </c>
      <c r="S537" s="17" t="n">
        <v>0</v>
      </c>
      <c r="T537" s="17" t="n">
        <v>0</v>
      </c>
      <c r="U537" s="18" t="n">
        <v>0</v>
      </c>
    </row>
    <row r="538">
      <c r="A538" s="13" t="n">
        <v>45250</v>
      </c>
      <c r="B538" s="4">
        <f>TEXT(A538,"ddd")</f>
        <v/>
      </c>
      <c r="C538" s="14" t="n">
        <v>1980.9</v>
      </c>
      <c r="D538" s="14" t="n">
        <v>1987.8</v>
      </c>
      <c r="E538" s="14" t="n">
        <v>1967.2</v>
      </c>
      <c r="F538" s="14" t="n">
        <v>1980.3</v>
      </c>
      <c r="G538" s="9">
        <f>F538-F537</f>
        <v/>
      </c>
      <c r="H538" s="10">
        <f>IF(F537=0,0,G538/F537)</f>
        <v/>
      </c>
      <c r="I538" s="8">
        <f>D538-E538</f>
        <v/>
      </c>
      <c r="J538" s="4">
        <f>IF(F538&gt;C538,"Up",IF(F538&lt;C538,"Down","Flat"))</f>
        <v/>
      </c>
      <c r="K538" s="14" t="n">
        <v>24.18</v>
      </c>
      <c r="L538" s="15" t="n">
        <v>55.08</v>
      </c>
      <c r="M538" s="14" t="n">
        <v>1969.74</v>
      </c>
      <c r="N538" s="14" t="n">
        <v>1955.81</v>
      </c>
      <c r="O538" s="14" t="n">
        <v>1930.11</v>
      </c>
      <c r="P538" s="4">
        <f>IF(O538="","",IF(F538&gt;O538,"Above","Below"))</f>
        <v/>
      </c>
      <c r="Q538" s="16" t="n">
        <v>177887</v>
      </c>
      <c r="R538" s="17" t="n">
        <v>0</v>
      </c>
      <c r="S538" s="17" t="n">
        <v>0</v>
      </c>
      <c r="T538" s="17" t="n">
        <v>0</v>
      </c>
      <c r="U538" s="18" t="n">
        <v>0</v>
      </c>
    </row>
    <row r="539">
      <c r="A539" s="13" t="n">
        <v>45251</v>
      </c>
      <c r="B539" s="4">
        <f>TEXT(A539,"ddd")</f>
        <v/>
      </c>
      <c r="C539" s="14" t="n">
        <v>1980</v>
      </c>
      <c r="D539" s="14" t="n">
        <v>2009.8</v>
      </c>
      <c r="E539" s="14" t="n">
        <v>1979.9</v>
      </c>
      <c r="F539" s="14" t="n">
        <v>2001.6</v>
      </c>
      <c r="G539" s="9">
        <f>F539-F538</f>
        <v/>
      </c>
      <c r="H539" s="10">
        <f>IF(F538=0,0,G539/F538)</f>
        <v/>
      </c>
      <c r="I539" s="8">
        <f>D539-E539</f>
        <v/>
      </c>
      <c r="J539" s="4">
        <f>IF(F539&gt;C539,"Up",IF(F539&lt;C539,"Down","Flat"))</f>
        <v/>
      </c>
      <c r="K539" s="14" t="n">
        <v>24.59</v>
      </c>
      <c r="L539" s="15" t="n">
        <v>60.76</v>
      </c>
      <c r="M539" s="14" t="n">
        <v>1972.78</v>
      </c>
      <c r="N539" s="14" t="n">
        <v>1957.61</v>
      </c>
      <c r="O539" s="14" t="n">
        <v>1930.82</v>
      </c>
      <c r="P539" s="4">
        <f>IF(O539="","",IF(F539&gt;O539,"Above","Below"))</f>
        <v/>
      </c>
      <c r="Q539" s="16" t="n">
        <v>230024</v>
      </c>
      <c r="R539" s="17" t="n">
        <v>0</v>
      </c>
      <c r="S539" s="17" t="n">
        <v>0</v>
      </c>
      <c r="T539" s="17" t="n">
        <v>0</v>
      </c>
      <c r="U539" s="18" t="n">
        <v>0</v>
      </c>
    </row>
    <row r="540">
      <c r="A540" s="13" t="n">
        <v>45252</v>
      </c>
      <c r="B540" s="4">
        <f>TEXT(A540,"ddd")</f>
        <v/>
      </c>
      <c r="C540" s="14" t="n">
        <v>2000.3</v>
      </c>
      <c r="D540" s="14" t="n">
        <v>2008.3</v>
      </c>
      <c r="E540" s="14" t="n">
        <v>1988.6</v>
      </c>
      <c r="F540" s="14" t="n">
        <v>1992.8</v>
      </c>
      <c r="G540" s="9">
        <f>F540-F539</f>
        <v/>
      </c>
      <c r="H540" s="10">
        <f>IF(F539=0,0,G540/F539)</f>
        <v/>
      </c>
      <c r="I540" s="8">
        <f>D540-E540</f>
        <v/>
      </c>
      <c r="J540" s="4">
        <f>IF(F540&gt;C540,"Up",IF(F540&lt;C540,"Down","Flat"))</f>
        <v/>
      </c>
      <c r="K540" s="14" t="n">
        <v>24.24</v>
      </c>
      <c r="L540" s="15" t="n">
        <v>57.52</v>
      </c>
      <c r="M540" s="14" t="n">
        <v>1974.68</v>
      </c>
      <c r="N540" s="14" t="n">
        <v>1958.99</v>
      </c>
      <c r="O540" s="14" t="n">
        <v>1931.44</v>
      </c>
      <c r="P540" s="4">
        <f>IF(O540="","",IF(F540&gt;O540,"Above","Below"))</f>
        <v/>
      </c>
      <c r="Q540" s="16" t="n">
        <v>199370</v>
      </c>
      <c r="R540" s="17" t="n">
        <v>0</v>
      </c>
      <c r="S540" s="17" t="n">
        <v>0</v>
      </c>
      <c r="T540" s="17" t="n">
        <v>0</v>
      </c>
      <c r="U540" s="18" t="n">
        <v>0</v>
      </c>
    </row>
    <row r="541">
      <c r="A541" s="13" t="n">
        <v>45253</v>
      </c>
      <c r="B541" s="4">
        <f>TEXT(A541,"ddd")</f>
        <v/>
      </c>
      <c r="C541" s="14" t="n">
        <v>1991.2</v>
      </c>
      <c r="D541" s="14" t="n">
        <v>1999.5</v>
      </c>
      <c r="E541" s="14" t="n">
        <v>1990.9</v>
      </c>
      <c r="F541" s="14" t="n">
        <v>1993.3</v>
      </c>
      <c r="G541" s="9">
        <f>F541-F540</f>
        <v/>
      </c>
      <c r="H541" s="10">
        <f>IF(F540=0,0,G541/F540)</f>
        <v/>
      </c>
      <c r="I541" s="8">
        <f>D541-E541</f>
        <v/>
      </c>
      <c r="J541" s="4">
        <f>IF(F541&gt;C541,"Up",IF(F541&lt;C541,"Down","Flat"))</f>
        <v/>
      </c>
      <c r="K541" s="14" t="n">
        <v>23.12</v>
      </c>
      <c r="L541" s="15" t="n">
        <v>57.66</v>
      </c>
      <c r="M541" s="14" t="n">
        <v>1976.46</v>
      </c>
      <c r="N541" s="14" t="n">
        <v>1960.33</v>
      </c>
      <c r="O541" s="14" t="n">
        <v>1932.05</v>
      </c>
      <c r="P541" s="4">
        <f>IF(O541="","",IF(F541&gt;O541,"Above","Below"))</f>
        <v/>
      </c>
      <c r="Q541" s="16" t="n">
        <v>199370</v>
      </c>
      <c r="R541" s="17" t="n">
        <v>0</v>
      </c>
      <c r="S541" s="17" t="n">
        <v>0</v>
      </c>
      <c r="T541" s="17" t="n">
        <v>0</v>
      </c>
      <c r="U541" s="18" t="n">
        <v>0</v>
      </c>
    </row>
    <row r="542">
      <c r="A542" s="13" t="n">
        <v>45254</v>
      </c>
      <c r="B542" s="4">
        <f>TEXT(A542,"ddd")</f>
        <v/>
      </c>
      <c r="C542" s="14" t="n">
        <v>1991.2</v>
      </c>
      <c r="D542" s="14" t="n">
        <v>2004.5</v>
      </c>
      <c r="E542" s="14" t="n">
        <v>1990.9</v>
      </c>
      <c r="F542" s="14" t="n">
        <v>2003</v>
      </c>
      <c r="G542" s="9">
        <f>F542-F541</f>
        <v/>
      </c>
      <c r="H542" s="10">
        <f>IF(F541=0,0,G542/F541)</f>
        <v/>
      </c>
      <c r="I542" s="8">
        <f>D542-E542</f>
        <v/>
      </c>
      <c r="J542" s="4">
        <f>IF(F542&gt;C542,"Up",IF(F542&lt;C542,"Down","Flat"))</f>
        <v/>
      </c>
      <c r="K542" s="14" t="n">
        <v>22.44</v>
      </c>
      <c r="L542" s="15" t="n">
        <v>60.35</v>
      </c>
      <c r="M542" s="14" t="n">
        <v>1978.98</v>
      </c>
      <c r="N542" s="14" t="n">
        <v>1962.01</v>
      </c>
      <c r="O542" s="14" t="n">
        <v>1932.76</v>
      </c>
      <c r="P542" s="4">
        <f>IF(O542="","",IF(F542&gt;O542,"Above","Below"))</f>
        <v/>
      </c>
      <c r="Q542" s="16" t="n">
        <v>214880</v>
      </c>
      <c r="R542" s="17" t="n">
        <v>0</v>
      </c>
      <c r="S542" s="17" t="n">
        <v>0</v>
      </c>
      <c r="T542" s="17" t="n">
        <v>0</v>
      </c>
      <c r="U542" s="18" t="n">
        <v>0</v>
      </c>
    </row>
    <row r="543">
      <c r="A543" s="13" t="n">
        <v>45257</v>
      </c>
      <c r="B543" s="4">
        <f>TEXT(A543,"ddd")</f>
        <v/>
      </c>
      <c r="C543" s="14" t="n">
        <v>2002.5</v>
      </c>
      <c r="D543" s="14" t="n">
        <v>2018.9</v>
      </c>
      <c r="E543" s="14" t="n">
        <v>2001.4</v>
      </c>
      <c r="F543" s="14" t="n">
        <v>2012.4</v>
      </c>
      <c r="G543" s="9">
        <f>F543-F542</f>
        <v/>
      </c>
      <c r="H543" s="10">
        <f>IF(F542=0,0,G543/F542)</f>
        <v/>
      </c>
      <c r="I543" s="8">
        <f>D543-E543</f>
        <v/>
      </c>
      <c r="J543" s="4">
        <f>IF(F543&gt;C543,"Up",IF(F543&lt;C543,"Down","Flat"))</f>
        <v/>
      </c>
      <c r="K543" s="14" t="n">
        <v>22.09</v>
      </c>
      <c r="L543" s="15" t="n">
        <v>62.82</v>
      </c>
      <c r="M543" s="14" t="n">
        <v>1982.17</v>
      </c>
      <c r="N543" s="14" t="n">
        <v>1963.98</v>
      </c>
      <c r="O543" s="14" t="n">
        <v>1933.55</v>
      </c>
      <c r="P543" s="4">
        <f>IF(O543="","",IF(F543&gt;O543,"Above","Below"))</f>
        <v/>
      </c>
      <c r="Q543" s="16" t="n">
        <v>251250</v>
      </c>
      <c r="R543" s="17" t="n">
        <v>0</v>
      </c>
      <c r="S543" s="17" t="n">
        <v>0</v>
      </c>
      <c r="T543" s="17" t="n">
        <v>0</v>
      </c>
      <c r="U543" s="18" t="n">
        <v>0</v>
      </c>
    </row>
    <row r="544">
      <c r="A544" s="13" t="n">
        <v>45258</v>
      </c>
      <c r="B544" s="4">
        <f>TEXT(A544,"ddd")</f>
        <v/>
      </c>
      <c r="C544" s="14" t="n">
        <v>2014.3</v>
      </c>
      <c r="D544" s="14" t="n">
        <v>2044.1</v>
      </c>
      <c r="E544" s="14" t="n">
        <v>2011.5</v>
      </c>
      <c r="F544" s="14" t="n">
        <v>2040</v>
      </c>
      <c r="G544" s="9">
        <f>F544-F543</f>
        <v/>
      </c>
      <c r="H544" s="10">
        <f>IF(F543=0,0,G544/F543)</f>
        <v/>
      </c>
      <c r="I544" s="8">
        <f>D544-E544</f>
        <v/>
      </c>
      <c r="J544" s="4">
        <f>IF(F544&gt;C544,"Up",IF(F544&lt;C544,"Down","Flat"))</f>
        <v/>
      </c>
      <c r="K544" s="14" t="n">
        <v>22.84</v>
      </c>
      <c r="L544" s="15" t="n">
        <v>68.93000000000001</v>
      </c>
      <c r="M544" s="14" t="n">
        <v>1987.67</v>
      </c>
      <c r="N544" s="14" t="n">
        <v>1966.96</v>
      </c>
      <c r="O544" s="14" t="n">
        <v>1934.61</v>
      </c>
      <c r="P544" s="4">
        <f>IF(O544="","",IF(F544&gt;O544,"Above","Below"))</f>
        <v/>
      </c>
      <c r="Q544" s="16" t="n">
        <v>174665</v>
      </c>
      <c r="R544" s="17" t="n">
        <v>0</v>
      </c>
      <c r="S544" s="17" t="n">
        <v>0</v>
      </c>
      <c r="T544" s="17" t="n">
        <v>0</v>
      </c>
      <c r="U544" s="18" t="n">
        <v>0</v>
      </c>
    </row>
    <row r="545">
      <c r="A545" s="13" t="n">
        <v>45259</v>
      </c>
      <c r="B545" s="4">
        <f>TEXT(A545,"ddd")</f>
        <v/>
      </c>
      <c r="C545" s="14" t="n">
        <v>2041.7</v>
      </c>
      <c r="D545" s="14" t="n">
        <v>2052.1</v>
      </c>
      <c r="E545" s="14" t="n">
        <v>2036</v>
      </c>
      <c r="F545" s="14" t="n">
        <v>2047.1</v>
      </c>
      <c r="G545" s="9">
        <f>F545-F544</f>
        <v/>
      </c>
      <c r="H545" s="10">
        <f>IF(F544=0,0,G545/F544)</f>
        <v/>
      </c>
      <c r="I545" s="8">
        <f>D545-E545</f>
        <v/>
      </c>
      <c r="J545" s="4">
        <f>IF(F545&gt;C545,"Up",IF(F545&lt;C545,"Down","Flat"))</f>
        <v/>
      </c>
      <c r="K545" s="14" t="n">
        <v>22.36</v>
      </c>
      <c r="L545" s="15" t="n">
        <v>70.28</v>
      </c>
      <c r="M545" s="14" t="n">
        <v>1993.33</v>
      </c>
      <c r="N545" s="14" t="n">
        <v>1970.11</v>
      </c>
      <c r="O545" s="14" t="n">
        <v>1935.73</v>
      </c>
      <c r="P545" s="4">
        <f>IF(O545="","",IF(F545&gt;O545,"Above","Below"))</f>
        <v/>
      </c>
      <c r="Q545" s="16" t="n">
        <v>15290</v>
      </c>
      <c r="R545" s="17" t="n">
        <v>0</v>
      </c>
      <c r="S545" s="17" t="n">
        <v>0</v>
      </c>
      <c r="T545" s="17" t="n">
        <v>0</v>
      </c>
      <c r="U545" s="18" t="n">
        <v>0</v>
      </c>
    </row>
    <row r="546">
      <c r="A546" s="13" t="n">
        <v>45260</v>
      </c>
      <c r="B546" s="4">
        <f>TEXT(A546,"ddd")</f>
        <v/>
      </c>
      <c r="C546" s="14" t="n">
        <v>2046.1</v>
      </c>
      <c r="D546" s="14" t="n">
        <v>2047.1</v>
      </c>
      <c r="E546" s="14" t="n">
        <v>2033.1</v>
      </c>
      <c r="F546" s="14" t="n">
        <v>2038.1</v>
      </c>
      <c r="G546" s="9">
        <f>F546-F545</f>
        <v/>
      </c>
      <c r="H546" s="10">
        <f>IF(F545=0,0,G546/F545)</f>
        <v/>
      </c>
      <c r="I546" s="8">
        <f>D546-E546</f>
        <v/>
      </c>
      <c r="J546" s="4">
        <f>IF(F546&gt;C546,"Up",IF(F546&lt;C546,"Down","Flat"))</f>
        <v/>
      </c>
      <c r="K546" s="14" t="n">
        <v>21.76</v>
      </c>
      <c r="L546" s="15" t="n">
        <v>66.34</v>
      </c>
      <c r="M546" s="14" t="n">
        <v>1997.6</v>
      </c>
      <c r="N546" s="14" t="n">
        <v>1972.77</v>
      </c>
      <c r="O546" s="14" t="n">
        <v>1936.75</v>
      </c>
      <c r="P546" s="4">
        <f>IF(O546="","",IF(F546&gt;O546,"Above","Below"))</f>
        <v/>
      </c>
      <c r="Q546" s="16" t="n">
        <v>151918</v>
      </c>
      <c r="R546" s="17" t="n">
        <v>0</v>
      </c>
      <c r="S546" s="17" t="n">
        <v>0</v>
      </c>
      <c r="T546" s="17" t="n">
        <v>0</v>
      </c>
      <c r="U546" s="18" t="n">
        <v>0</v>
      </c>
    </row>
    <row r="547">
      <c r="A547" s="13" t="n">
        <v>45261</v>
      </c>
      <c r="B547" s="4">
        <f>TEXT(A547,"ddd")</f>
        <v/>
      </c>
      <c r="C547" s="14" t="n">
        <v>2056.5</v>
      </c>
      <c r="D547" s="14" t="n">
        <v>2095.7</v>
      </c>
      <c r="E547" s="14" t="n">
        <v>2052.6</v>
      </c>
      <c r="F547" s="14" t="n">
        <v>2089.7</v>
      </c>
      <c r="G547" s="9">
        <f>F547-F546</f>
        <v/>
      </c>
      <c r="H547" s="10">
        <f>IF(F546=0,0,G547/F546)</f>
        <v/>
      </c>
      <c r="I547" s="8">
        <f>D547-E547</f>
        <v/>
      </c>
      <c r="J547" s="4">
        <f>IF(F547&gt;C547,"Up",IF(F547&lt;C547,"Down","Flat"))</f>
        <v/>
      </c>
      <c r="K547" s="14" t="n">
        <v>24.32</v>
      </c>
      <c r="L547" s="15" t="n">
        <v>75</v>
      </c>
      <c r="M547" s="14" t="n">
        <v>2006.37</v>
      </c>
      <c r="N547" s="14" t="n">
        <v>1977.36</v>
      </c>
      <c r="O547" s="14" t="n">
        <v>1938.27</v>
      </c>
      <c r="P547" s="4">
        <f>IF(O547="","",IF(F547&gt;O547,"Above","Below"))</f>
        <v/>
      </c>
      <c r="Q547" s="16" t="n">
        <v>241615</v>
      </c>
      <c r="R547" s="17" t="n">
        <v>0</v>
      </c>
      <c r="S547" s="17" t="n">
        <v>0</v>
      </c>
      <c r="T547" s="17" t="n">
        <v>0</v>
      </c>
      <c r="U547" s="18" t="n">
        <v>0</v>
      </c>
    </row>
    <row r="548">
      <c r="A548" s="13" t="n">
        <v>45264</v>
      </c>
      <c r="B548" s="4">
        <f>TEXT(A548,"ddd")</f>
        <v/>
      </c>
      <c r="C548" s="14" t="n">
        <v>2094.4</v>
      </c>
      <c r="D548" s="14" t="n">
        <v>2152.3</v>
      </c>
      <c r="E548" s="14" t="n">
        <v>2038.4</v>
      </c>
      <c r="F548" s="14" t="n">
        <v>2042.2</v>
      </c>
      <c r="G548" s="9">
        <f>F548-F547</f>
        <v/>
      </c>
      <c r="H548" s="10">
        <f>IF(F547=0,0,G548/F547)</f>
        <v/>
      </c>
      <c r="I548" s="8">
        <f>D548-E548</f>
        <v/>
      </c>
      <c r="J548" s="4">
        <f>IF(F548&gt;C548,"Up",IF(F548&lt;C548,"Down","Flat"))</f>
        <v/>
      </c>
      <c r="K548" s="14" t="n">
        <v>30.72</v>
      </c>
      <c r="L548" s="15" t="n">
        <v>59.76</v>
      </c>
      <c r="M548" s="14" t="n">
        <v>2009.78</v>
      </c>
      <c r="N548" s="14" t="n">
        <v>1979.9</v>
      </c>
      <c r="O548" s="14" t="n">
        <v>1939.3</v>
      </c>
      <c r="P548" s="4">
        <f>IF(O548="","",IF(F548&gt;O548,"Above","Below"))</f>
        <v/>
      </c>
      <c r="Q548" s="16" t="n">
        <v>378224</v>
      </c>
      <c r="R548" s="17" t="n">
        <v>0</v>
      </c>
      <c r="S548" s="17" t="n">
        <v>0</v>
      </c>
      <c r="T548" s="17" t="n">
        <v>0</v>
      </c>
      <c r="U548" s="18" t="n">
        <v>0</v>
      </c>
    </row>
    <row r="549">
      <c r="A549" s="13" t="n">
        <v>45265</v>
      </c>
      <c r="B549" s="4">
        <f>TEXT(A549,"ddd")</f>
        <v/>
      </c>
      <c r="C549" s="14" t="n">
        <v>2049</v>
      </c>
      <c r="D549" s="14" t="n">
        <v>2059.6</v>
      </c>
      <c r="E549" s="14" t="n">
        <v>2027.6</v>
      </c>
      <c r="F549" s="14" t="n">
        <v>2036.3</v>
      </c>
      <c r="G549" s="9">
        <f>F549-F548</f>
        <v/>
      </c>
      <c r="H549" s="10">
        <f>IF(F548=0,0,G549/F548)</f>
        <v/>
      </c>
      <c r="I549" s="8">
        <f>D549-E549</f>
        <v/>
      </c>
      <c r="J549" s="4">
        <f>IF(F549&gt;C549,"Up",IF(F549&lt;C549,"Down","Flat"))</f>
        <v/>
      </c>
      <c r="K549" s="14" t="n">
        <v>30.81</v>
      </c>
      <c r="L549" s="15" t="n">
        <v>58.18</v>
      </c>
      <c r="M549" s="14" t="n">
        <v>2012.31</v>
      </c>
      <c r="N549" s="14" t="n">
        <v>1982.11</v>
      </c>
      <c r="O549" s="14" t="n">
        <v>1940.27</v>
      </c>
      <c r="P549" s="4">
        <f>IF(O549="","",IF(F549&gt;O549,"Above","Below"))</f>
        <v/>
      </c>
      <c r="Q549" s="16" t="n">
        <v>209549</v>
      </c>
      <c r="R549" s="17" t="n">
        <v>0</v>
      </c>
      <c r="S549" s="17" t="n">
        <v>0</v>
      </c>
      <c r="T549" s="17" t="n">
        <v>0</v>
      </c>
      <c r="U549" s="18" t="n">
        <v>0</v>
      </c>
    </row>
    <row r="550">
      <c r="A550" s="13" t="n">
        <v>45266</v>
      </c>
      <c r="B550" s="4">
        <f>TEXT(A550,"ddd")</f>
        <v/>
      </c>
      <c r="C550" s="14" t="n">
        <v>2037.8</v>
      </c>
      <c r="D550" s="14" t="n">
        <v>2053.4</v>
      </c>
      <c r="E550" s="14" t="n">
        <v>2035.3</v>
      </c>
      <c r="F550" s="14" t="n">
        <v>2047.9</v>
      </c>
      <c r="G550" s="9">
        <f>F550-F549</f>
        <v/>
      </c>
      <c r="H550" s="10">
        <f>IF(F549=0,0,G550/F549)</f>
        <v/>
      </c>
      <c r="I550" s="8">
        <f>D550-E550</f>
        <v/>
      </c>
      <c r="J550" s="4">
        <f>IF(F550&gt;C550,"Up",IF(F550&lt;C550,"Down","Flat"))</f>
        <v/>
      </c>
      <c r="K550" s="14" t="n">
        <v>29.9</v>
      </c>
      <c r="L550" s="15" t="n">
        <v>60.39</v>
      </c>
      <c r="M550" s="14" t="n">
        <v>2015.7</v>
      </c>
      <c r="N550" s="14" t="n">
        <v>1984.69</v>
      </c>
      <c r="O550" s="14" t="n">
        <v>1941.34</v>
      </c>
      <c r="P550" s="4">
        <f>IF(O550="","",IF(F550&gt;O550,"Above","Below"))</f>
        <v/>
      </c>
      <c r="Q550" s="16" t="n">
        <v>154219</v>
      </c>
      <c r="R550" s="17" t="n">
        <v>0</v>
      </c>
      <c r="S550" s="17" t="n">
        <v>0</v>
      </c>
      <c r="T550" s="17" t="n">
        <v>0</v>
      </c>
      <c r="U550" s="18" t="n">
        <v>0</v>
      </c>
    </row>
    <row r="551">
      <c r="A551" s="13" t="n">
        <v>45267</v>
      </c>
      <c r="B551" s="4">
        <f>TEXT(A551,"ddd")</f>
        <v/>
      </c>
      <c r="C551" s="14" t="n">
        <v>2043.4</v>
      </c>
      <c r="D551" s="14" t="n">
        <v>2057.2</v>
      </c>
      <c r="E551" s="14" t="n">
        <v>2036.6</v>
      </c>
      <c r="F551" s="14" t="n">
        <v>2046.4</v>
      </c>
      <c r="G551" s="9">
        <f>F551-F550</f>
        <v/>
      </c>
      <c r="H551" s="10">
        <f>IF(F550=0,0,G551/F550)</f>
        <v/>
      </c>
      <c r="I551" s="8">
        <f>D551-E551</f>
        <v/>
      </c>
      <c r="J551" s="4">
        <f>IF(F551&gt;C551,"Up",IF(F551&lt;C551,"Down","Flat"))</f>
        <v/>
      </c>
      <c r="K551" s="14" t="n">
        <v>29.24</v>
      </c>
      <c r="L551" s="15" t="n">
        <v>59.95</v>
      </c>
      <c r="M551" s="14" t="n">
        <v>2018.62</v>
      </c>
      <c r="N551" s="14" t="n">
        <v>1987.11</v>
      </c>
      <c r="O551" s="14" t="n">
        <v>1942.39</v>
      </c>
      <c r="P551" s="4">
        <f>IF(O551="","",IF(F551&gt;O551,"Above","Below"))</f>
        <v/>
      </c>
      <c r="Q551" s="16" t="n">
        <v>173977</v>
      </c>
      <c r="R551" s="17" t="n">
        <v>0</v>
      </c>
      <c r="S551" s="17" t="n">
        <v>0</v>
      </c>
      <c r="T551" s="17" t="n">
        <v>0</v>
      </c>
      <c r="U551" s="18" t="n">
        <v>0</v>
      </c>
    </row>
    <row r="552">
      <c r="A552" s="13" t="n">
        <v>45268</v>
      </c>
      <c r="B552" s="4">
        <f>TEXT(A552,"ddd")</f>
        <v/>
      </c>
      <c r="C552" s="14" t="n">
        <v>2045.7</v>
      </c>
      <c r="D552" s="14" t="n">
        <v>2050.4</v>
      </c>
      <c r="E552" s="14" t="n">
        <v>2010.6</v>
      </c>
      <c r="F552" s="14" t="n">
        <v>2014.5</v>
      </c>
      <c r="G552" s="9">
        <f>F552-F551</f>
        <v/>
      </c>
      <c r="H552" s="10">
        <f>IF(F551=0,0,G552/F551)</f>
        <v/>
      </c>
      <c r="I552" s="8">
        <f>D552-E552</f>
        <v/>
      </c>
      <c r="J552" s="4">
        <f>IF(F552&gt;C552,"Up",IF(F552&lt;C552,"Down","Flat"))</f>
        <v/>
      </c>
      <c r="K552" s="14" t="n">
        <v>29.99</v>
      </c>
      <c r="L552" s="15" t="n">
        <v>51.33</v>
      </c>
      <c r="M552" s="14" t="n">
        <v>2018.23</v>
      </c>
      <c r="N552" s="14" t="n">
        <v>1988.19</v>
      </c>
      <c r="O552" s="14" t="n">
        <v>1943.1</v>
      </c>
      <c r="P552" s="4">
        <f>IF(O552="","",IF(F552&gt;O552,"Above","Below"))</f>
        <v/>
      </c>
      <c r="Q552" s="16" t="n">
        <v>237289</v>
      </c>
      <c r="R552" s="17" t="n">
        <v>0</v>
      </c>
      <c r="S552" s="17" t="n">
        <v>0</v>
      </c>
      <c r="T552" s="17" t="n">
        <v>0</v>
      </c>
      <c r="U552" s="18" t="n">
        <v>0</v>
      </c>
    </row>
    <row r="553">
      <c r="A553" s="13" t="n">
        <v>45271</v>
      </c>
      <c r="B553" s="4">
        <f>TEXT(A553,"ddd")</f>
        <v/>
      </c>
      <c r="C553" s="14" t="n">
        <v>2020</v>
      </c>
      <c r="D553" s="14" t="n">
        <v>2023.7</v>
      </c>
      <c r="E553" s="14" t="n">
        <v>1991.2</v>
      </c>
      <c r="F553" s="14" t="n">
        <v>1993.7</v>
      </c>
      <c r="G553" s="9">
        <f>F553-F552</f>
        <v/>
      </c>
      <c r="H553" s="10">
        <f>IF(F552=0,0,G553/F552)</f>
        <v/>
      </c>
      <c r="I553" s="8">
        <f>D553-E553</f>
        <v/>
      </c>
      <c r="J553" s="4">
        <f>IF(F553&gt;C553,"Up",IF(F553&lt;C553,"Down","Flat"))</f>
        <v/>
      </c>
      <c r="K553" s="14" t="n">
        <v>30.17</v>
      </c>
      <c r="L553" s="15" t="n">
        <v>46.62</v>
      </c>
      <c r="M553" s="14" t="n">
        <v>2015.89</v>
      </c>
      <c r="N553" s="14" t="n">
        <v>1988.4</v>
      </c>
      <c r="O553" s="14" t="n">
        <v>1943.61</v>
      </c>
      <c r="P553" s="4">
        <f>IF(O553="","",IF(F553&gt;O553,"Above","Below"))</f>
        <v/>
      </c>
      <c r="Q553" s="16" t="n">
        <v>160072</v>
      </c>
      <c r="R553" s="17" t="n">
        <v>0</v>
      </c>
      <c r="S553" s="17" t="n">
        <v>0</v>
      </c>
      <c r="T553" s="17" t="n">
        <v>0</v>
      </c>
      <c r="U553" s="18" t="n">
        <v>0</v>
      </c>
    </row>
    <row r="554">
      <c r="A554" s="13" t="n">
        <v>45272</v>
      </c>
      <c r="B554" s="4">
        <f>TEXT(A554,"ddd")</f>
        <v/>
      </c>
      <c r="C554" s="14" t="n">
        <v>1997.8</v>
      </c>
      <c r="D554" s="14" t="n">
        <v>2012.5</v>
      </c>
      <c r="E554" s="14" t="n">
        <v>1992.3</v>
      </c>
      <c r="F554" s="14" t="n">
        <v>1993.2</v>
      </c>
      <c r="G554" s="9">
        <f>F554-F553</f>
        <v/>
      </c>
      <c r="H554" s="10">
        <f>IF(F553=0,0,G554/F553)</f>
        <v/>
      </c>
      <c r="I554" s="8">
        <f>D554-E554</f>
        <v/>
      </c>
      <c r="J554" s="4">
        <f>IF(F554&gt;C554,"Up",IF(F554&lt;C554,"Down","Flat"))</f>
        <v/>
      </c>
      <c r="K554" s="14" t="n">
        <v>29.46</v>
      </c>
      <c r="L554" s="15" t="n">
        <v>46.51</v>
      </c>
      <c r="M554" s="14" t="n">
        <v>2013.73</v>
      </c>
      <c r="N554" s="14" t="n">
        <v>1988.59</v>
      </c>
      <c r="O554" s="14" t="n">
        <v>1944.1</v>
      </c>
      <c r="P554" s="4">
        <f>IF(O554="","",IF(F554&gt;O554,"Above","Below"))</f>
        <v/>
      </c>
      <c r="Q554" s="16" t="n">
        <v>148532</v>
      </c>
      <c r="R554" s="17" t="n">
        <v>0</v>
      </c>
      <c r="S554" s="17" t="n">
        <v>0</v>
      </c>
      <c r="T554" s="17" t="n">
        <v>0</v>
      </c>
      <c r="U554" s="18" t="n">
        <v>0</v>
      </c>
    </row>
    <row r="555">
      <c r="A555" s="13" t="n">
        <v>45273</v>
      </c>
      <c r="B555" s="4">
        <f>TEXT(A555,"ddd")</f>
        <v/>
      </c>
      <c r="C555" s="14" t="n">
        <v>1995.1</v>
      </c>
      <c r="D555" s="14" t="n">
        <v>2043.3</v>
      </c>
      <c r="E555" s="14" t="n">
        <v>1987.9</v>
      </c>
      <c r="F555" s="14" t="n">
        <v>1997.3</v>
      </c>
      <c r="G555" s="9">
        <f>F555-F554</f>
        <v/>
      </c>
      <c r="H555" s="10">
        <f>IF(F554=0,0,G555/F554)</f>
        <v/>
      </c>
      <c r="I555" s="8">
        <f>D555-E555</f>
        <v/>
      </c>
      <c r="J555" s="4">
        <f>IF(F555&gt;C555,"Up",IF(F555&lt;C555,"Down","Flat"))</f>
        <v/>
      </c>
      <c r="K555" s="14" t="n">
        <v>31.31</v>
      </c>
      <c r="L555" s="15" t="n">
        <v>47.61</v>
      </c>
      <c r="M555" s="14" t="n">
        <v>2012.17</v>
      </c>
      <c r="N555" s="14" t="n">
        <v>1988.93</v>
      </c>
      <c r="O555" s="14" t="n">
        <v>1944.63</v>
      </c>
      <c r="P555" s="4">
        <f>IF(O555="","",IF(F555&gt;O555,"Above","Below"))</f>
        <v/>
      </c>
      <c r="Q555" s="16" t="n">
        <v>192679</v>
      </c>
      <c r="R555" s="17" t="n">
        <v>0</v>
      </c>
      <c r="S555" s="17" t="n">
        <v>0</v>
      </c>
      <c r="T555" s="17" t="n">
        <v>0</v>
      </c>
      <c r="U555" s="18" t="n">
        <v>0</v>
      </c>
    </row>
    <row r="556">
      <c r="A556" s="13" t="n">
        <v>45274</v>
      </c>
      <c r="B556" s="4">
        <f>TEXT(A556,"ddd")</f>
        <v/>
      </c>
      <c r="C556" s="14" t="n">
        <v>2043.2</v>
      </c>
      <c r="D556" s="14" t="n">
        <v>2062.9</v>
      </c>
      <c r="E556" s="14" t="n">
        <v>2039.1</v>
      </c>
      <c r="F556" s="14" t="n">
        <v>2044.9</v>
      </c>
      <c r="G556" s="9">
        <f>F556-F555</f>
        <v/>
      </c>
      <c r="H556" s="10">
        <f>IF(F555=0,0,G556/F555)</f>
        <v/>
      </c>
      <c r="I556" s="8">
        <f>D556-E556</f>
        <v/>
      </c>
      <c r="J556" s="4">
        <f>IF(F556&gt;C556,"Up",IF(F556&lt;C556,"Down","Flat"))</f>
        <v/>
      </c>
      <c r="K556" s="14" t="n">
        <v>33.76</v>
      </c>
      <c r="L556" s="15" t="n">
        <v>58.29</v>
      </c>
      <c r="M556" s="14" t="n">
        <v>2015.28</v>
      </c>
      <c r="N556" s="14" t="n">
        <v>1991.13</v>
      </c>
      <c r="O556" s="14" t="n">
        <v>1945.63</v>
      </c>
      <c r="P556" s="4">
        <f>IF(O556="","",IF(F556&gt;O556,"Above","Below"))</f>
        <v/>
      </c>
      <c r="Q556" s="16" t="n">
        <v>231095</v>
      </c>
      <c r="R556" s="17" t="n">
        <v>0</v>
      </c>
      <c r="S556" s="17" t="n">
        <v>0</v>
      </c>
      <c r="T556" s="17" t="n">
        <v>0</v>
      </c>
      <c r="U556" s="18" t="n">
        <v>0</v>
      </c>
    </row>
    <row r="557">
      <c r="A557" s="13" t="n">
        <v>45275</v>
      </c>
      <c r="B557" s="4">
        <f>TEXT(A557,"ddd")</f>
        <v/>
      </c>
      <c r="C557" s="14" t="n">
        <v>2051.3</v>
      </c>
      <c r="D557" s="14" t="n">
        <v>2059.6</v>
      </c>
      <c r="E557" s="14" t="n">
        <v>2029.2</v>
      </c>
      <c r="F557" s="14" t="n">
        <v>2035.7</v>
      </c>
      <c r="G557" s="9">
        <f>F557-F556</f>
        <v/>
      </c>
      <c r="H557" s="10">
        <f>IF(F556=0,0,G557/F556)</f>
        <v/>
      </c>
      <c r="I557" s="8">
        <f>D557-E557</f>
        <v/>
      </c>
      <c r="J557" s="4">
        <f>IF(F557&gt;C557,"Up",IF(F557&lt;C557,"Down","Flat"))</f>
        <v/>
      </c>
      <c r="K557" s="14" t="n">
        <v>33.52</v>
      </c>
      <c r="L557" s="15" t="n">
        <v>55.92</v>
      </c>
      <c r="M557" s="14" t="n">
        <v>2017.23</v>
      </c>
      <c r="N557" s="14" t="n">
        <v>1992.88</v>
      </c>
      <c r="O557" s="14" t="n">
        <v>1946.52</v>
      </c>
      <c r="P557" s="4">
        <f>IF(O557="","",IF(F557&gt;O557,"Above","Below"))</f>
        <v/>
      </c>
      <c r="Q557" s="16" t="n">
        <v>172147</v>
      </c>
      <c r="R557" s="17" t="n">
        <v>0</v>
      </c>
      <c r="S557" s="17" t="n">
        <v>0</v>
      </c>
      <c r="T557" s="17" t="n">
        <v>0</v>
      </c>
      <c r="U557" s="18" t="n">
        <v>0</v>
      </c>
    </row>
    <row r="558">
      <c r="A558" s="13" t="n">
        <v>45278</v>
      </c>
      <c r="B558" s="4">
        <f>TEXT(A558,"ddd")</f>
        <v/>
      </c>
      <c r="C558" s="14" t="n">
        <v>2033.3</v>
      </c>
      <c r="D558" s="14" t="n">
        <v>2048</v>
      </c>
      <c r="E558" s="14" t="n">
        <v>2029.5</v>
      </c>
      <c r="F558" s="14" t="n">
        <v>2040.5</v>
      </c>
      <c r="G558" s="9">
        <f>F558-F557</f>
        <v/>
      </c>
      <c r="H558" s="10">
        <f>IF(F557=0,0,G558/F557)</f>
        <v/>
      </c>
      <c r="I558" s="8">
        <f>D558-E558</f>
        <v/>
      </c>
      <c r="J558" s="4">
        <f>IF(F558&gt;C558,"Up",IF(F558&lt;C558,"Down","Flat"))</f>
        <v/>
      </c>
      <c r="K558" s="14" t="n">
        <v>32.45</v>
      </c>
      <c r="L558" s="15" t="n">
        <v>56.9</v>
      </c>
      <c r="M558" s="14" t="n">
        <v>2019.44</v>
      </c>
      <c r="N558" s="14" t="n">
        <v>1994.74</v>
      </c>
      <c r="O558" s="14" t="n">
        <v>1947.46</v>
      </c>
      <c r="P558" s="4">
        <f>IF(O558="","",IF(F558&gt;O558,"Above","Below"))</f>
        <v/>
      </c>
      <c r="Q558" s="16" t="n">
        <v>141406</v>
      </c>
      <c r="R558" s="17" t="n">
        <v>0</v>
      </c>
      <c r="S558" s="17" t="n">
        <v>0</v>
      </c>
      <c r="T558" s="17" t="n">
        <v>0</v>
      </c>
      <c r="U558" s="18" t="n">
        <v>0</v>
      </c>
    </row>
    <row r="559">
      <c r="A559" s="13" t="n">
        <v>45279</v>
      </c>
      <c r="B559" s="4">
        <f>TEXT(A559,"ddd")</f>
        <v/>
      </c>
      <c r="C559" s="14" t="n">
        <v>2041.1</v>
      </c>
      <c r="D559" s="14" t="n">
        <v>2061</v>
      </c>
      <c r="E559" s="14" t="n">
        <v>2034.8</v>
      </c>
      <c r="F559" s="14" t="n">
        <v>2052.1</v>
      </c>
      <c r="G559" s="9">
        <f>F559-F558</f>
        <v/>
      </c>
      <c r="H559" s="10">
        <f>IF(F558=0,0,G559/F558)</f>
        <v/>
      </c>
      <c r="I559" s="8">
        <f>D559-E559</f>
        <v/>
      </c>
      <c r="J559" s="4">
        <f>IF(F559&gt;C559,"Up",IF(F559&lt;C559,"Down","Flat"))</f>
        <v/>
      </c>
      <c r="K559" s="14" t="n">
        <v>32</v>
      </c>
      <c r="L559" s="15" t="n">
        <v>59.28</v>
      </c>
      <c r="M559" s="14" t="n">
        <v>2022.55</v>
      </c>
      <c r="N559" s="14" t="n">
        <v>1996.99</v>
      </c>
      <c r="O559" s="14" t="n">
        <v>1948.5</v>
      </c>
      <c r="P559" s="4">
        <f>IF(O559="","",IF(F559&gt;O559,"Above","Below"))</f>
        <v/>
      </c>
      <c r="Q559" s="16" t="n">
        <v>134781</v>
      </c>
      <c r="R559" s="17" t="n">
        <v>0</v>
      </c>
      <c r="S559" s="17" t="n">
        <v>0</v>
      </c>
      <c r="T559" s="17" t="n">
        <v>0</v>
      </c>
      <c r="U559" s="18" t="n">
        <v>0</v>
      </c>
    </row>
    <row r="560">
      <c r="A560" s="13" t="n">
        <v>45280</v>
      </c>
      <c r="B560" s="4">
        <f>TEXT(A560,"ddd")</f>
        <v/>
      </c>
      <c r="C560" s="14" t="n">
        <v>2053.8</v>
      </c>
      <c r="D560" s="14" t="n">
        <v>2056.9</v>
      </c>
      <c r="E560" s="14" t="n">
        <v>2040.6</v>
      </c>
      <c r="F560" s="14" t="n">
        <v>2047.7</v>
      </c>
      <c r="G560" s="9">
        <f>F560-F559</f>
        <v/>
      </c>
      <c r="H560" s="10">
        <f>IF(F559=0,0,G560/F559)</f>
        <v/>
      </c>
      <c r="I560" s="8">
        <f>D560-E560</f>
        <v/>
      </c>
      <c r="J560" s="4">
        <f>IF(F560&gt;C560,"Up",IF(F560&lt;C560,"Down","Flat"))</f>
        <v/>
      </c>
      <c r="K560" s="14" t="n">
        <v>30.88</v>
      </c>
      <c r="L560" s="15" t="n">
        <v>57.97</v>
      </c>
      <c r="M560" s="14" t="n">
        <v>2024.95</v>
      </c>
      <c r="N560" s="14" t="n">
        <v>1998.98</v>
      </c>
      <c r="O560" s="14" t="n">
        <v>1949.49</v>
      </c>
      <c r="P560" s="4">
        <f>IF(O560="","",IF(F560&gt;O560,"Above","Below"))</f>
        <v/>
      </c>
      <c r="Q560" s="16" t="n">
        <v>122567</v>
      </c>
      <c r="R560" s="17" t="n">
        <v>0</v>
      </c>
      <c r="S560" s="17" t="n">
        <v>0</v>
      </c>
      <c r="T560" s="17" t="n">
        <v>0</v>
      </c>
      <c r="U560" s="18" t="n">
        <v>0</v>
      </c>
    </row>
    <row r="561">
      <c r="A561" s="13" t="n">
        <v>45281</v>
      </c>
      <c r="B561" s="4">
        <f>TEXT(A561,"ddd")</f>
        <v/>
      </c>
      <c r="C561" s="14" t="n">
        <v>2044.4</v>
      </c>
      <c r="D561" s="14" t="n">
        <v>2058</v>
      </c>
      <c r="E561" s="14" t="n">
        <v>2043.3</v>
      </c>
      <c r="F561" s="14" t="n">
        <v>2051.3</v>
      </c>
      <c r="G561" s="9">
        <f>F561-F560</f>
        <v/>
      </c>
      <c r="H561" s="10">
        <f>IF(F560=0,0,G561/F560)</f>
        <v/>
      </c>
      <c r="I561" s="8">
        <f>D561-E561</f>
        <v/>
      </c>
      <c r="J561" s="4">
        <f>IF(F561&gt;C561,"Up",IF(F561&lt;C561,"Down","Flat"))</f>
        <v/>
      </c>
      <c r="K561" s="14" t="n">
        <v>29.72</v>
      </c>
      <c r="L561" s="15" t="n">
        <v>58.77</v>
      </c>
      <c r="M561" s="14" t="n">
        <v>2027.46</v>
      </c>
      <c r="N561" s="14" t="n">
        <v>2001.03</v>
      </c>
      <c r="O561" s="14" t="n">
        <v>1950.5</v>
      </c>
      <c r="P561" s="4">
        <f>IF(O561="","",IF(F561&gt;O561,"Above","Below"))</f>
        <v/>
      </c>
      <c r="Q561" s="16" t="n">
        <v>119952</v>
      </c>
      <c r="R561" s="17" t="n">
        <v>0</v>
      </c>
      <c r="S561" s="17" t="n">
        <v>0</v>
      </c>
      <c r="T561" s="17" t="n">
        <v>0</v>
      </c>
      <c r="U561" s="18" t="n">
        <v>0</v>
      </c>
    </row>
    <row r="562">
      <c r="A562" s="13" t="n">
        <v>45282</v>
      </c>
      <c r="B562" s="4">
        <f>TEXT(A562,"ddd")</f>
        <v/>
      </c>
      <c r="C562" s="14" t="n">
        <v>2061.2</v>
      </c>
      <c r="D562" s="14" t="n">
        <v>2083</v>
      </c>
      <c r="E562" s="14" t="n">
        <v>2058.2</v>
      </c>
      <c r="F562" s="14" t="n">
        <v>2069.1</v>
      </c>
      <c r="G562" s="9">
        <f>F562-F561</f>
        <v/>
      </c>
      <c r="H562" s="10">
        <f>IF(F561=0,0,G562/F561)</f>
        <v/>
      </c>
      <c r="I562" s="8">
        <f>D562-E562</f>
        <v/>
      </c>
      <c r="J562" s="4">
        <f>IF(F562&gt;C562,"Up",IF(F562&lt;C562,"Down","Flat"))</f>
        <v/>
      </c>
      <c r="K562" s="14" t="n">
        <v>29.87</v>
      </c>
      <c r="L562" s="15" t="n">
        <v>62.56</v>
      </c>
      <c r="M562" s="14" t="n">
        <v>2031.42</v>
      </c>
      <c r="N562" s="14" t="n">
        <v>2003.7</v>
      </c>
      <c r="O562" s="14" t="n">
        <v>1951.68</v>
      </c>
      <c r="P562" s="4">
        <f>IF(O562="","",IF(F562&gt;O562,"Above","Below"))</f>
        <v/>
      </c>
      <c r="Q562" s="16" t="n">
        <v>170150</v>
      </c>
      <c r="R562" s="17" t="n">
        <v>0</v>
      </c>
      <c r="S562" s="17" t="n">
        <v>0</v>
      </c>
      <c r="T562" s="17" t="n">
        <v>0</v>
      </c>
      <c r="U562" s="18" t="n">
        <v>0</v>
      </c>
    </row>
    <row r="563">
      <c r="A563" s="13" t="n">
        <v>45286</v>
      </c>
      <c r="B563" s="4">
        <f>TEXT(A563,"ddd")</f>
        <v/>
      </c>
      <c r="C563" s="14" t="n">
        <v>2066</v>
      </c>
      <c r="D563" s="14" t="n">
        <v>2080.5</v>
      </c>
      <c r="E563" s="14" t="n">
        <v>2065.1</v>
      </c>
      <c r="F563" s="14" t="n">
        <v>2069.8</v>
      </c>
      <c r="G563" s="9">
        <f>F563-F562</f>
        <v/>
      </c>
      <c r="H563" s="10">
        <f>IF(F562=0,0,G563/F562)</f>
        <v/>
      </c>
      <c r="I563" s="8">
        <f>D563-E563</f>
        <v/>
      </c>
      <c r="J563" s="4">
        <f>IF(F563&gt;C563,"Up",IF(F563&lt;C563,"Down","Flat"))</f>
        <v/>
      </c>
      <c r="K563" s="14" t="n">
        <v>28.83</v>
      </c>
      <c r="L563" s="15" t="n">
        <v>62.7</v>
      </c>
      <c r="M563" s="14" t="n">
        <v>2035.08</v>
      </c>
      <c r="N563" s="14" t="n">
        <v>2006.29</v>
      </c>
      <c r="O563" s="14" t="n">
        <v>1952.86</v>
      </c>
      <c r="P563" s="4">
        <f>IF(O563="","",IF(F563&gt;O563,"Above","Below"))</f>
        <v/>
      </c>
      <c r="Q563" s="16" t="n">
        <v>79573</v>
      </c>
      <c r="R563" s="17" t="n">
        <v>0</v>
      </c>
      <c r="S563" s="17" t="n">
        <v>0</v>
      </c>
      <c r="T563" s="17" t="n">
        <v>0</v>
      </c>
      <c r="U563" s="18" t="n">
        <v>0</v>
      </c>
    </row>
    <row r="564">
      <c r="A564" s="13" t="n">
        <v>45287</v>
      </c>
      <c r="B564" s="4">
        <f>TEXT(A564,"ddd")</f>
        <v/>
      </c>
      <c r="C564" s="14" t="n">
        <v>2079.3</v>
      </c>
      <c r="D564" s="14" t="n">
        <v>2095.8</v>
      </c>
      <c r="E564" s="14" t="n">
        <v>2072.8</v>
      </c>
      <c r="F564" s="14" t="n">
        <v>2093.1</v>
      </c>
      <c r="G564" s="9">
        <f>F564-F563</f>
        <v/>
      </c>
      <c r="H564" s="10">
        <f>IF(F563=0,0,G564/F563)</f>
        <v/>
      </c>
      <c r="I564" s="8">
        <f>D564-E564</f>
        <v/>
      </c>
      <c r="J564" s="4">
        <f>IF(F564&gt;C564,"Up",IF(F564&lt;C564,"Down","Flat"))</f>
        <v/>
      </c>
      <c r="K564" s="14" t="n">
        <v>28.63</v>
      </c>
      <c r="L564" s="15" t="n">
        <v>67.25</v>
      </c>
      <c r="M564" s="14" t="n">
        <v>2040.61</v>
      </c>
      <c r="N564" s="14" t="n">
        <v>2009.7</v>
      </c>
      <c r="O564" s="14" t="n">
        <v>1954.25</v>
      </c>
      <c r="P564" s="4">
        <f>IF(O564="","",IF(F564&gt;O564,"Above","Below"))</f>
        <v/>
      </c>
      <c r="Q564" s="16" t="n">
        <v>128179</v>
      </c>
      <c r="R564" s="17" t="n">
        <v>0</v>
      </c>
      <c r="S564" s="17" t="n">
        <v>0</v>
      </c>
      <c r="T564" s="17" t="n">
        <v>0</v>
      </c>
      <c r="U564" s="18" t="n">
        <v>0</v>
      </c>
    </row>
    <row r="565">
      <c r="A565" s="13" t="n">
        <v>45288</v>
      </c>
      <c r="B565" s="4">
        <f>TEXT(A565,"ddd")</f>
        <v/>
      </c>
      <c r="C565" s="14" t="n">
        <v>2089.5</v>
      </c>
      <c r="D565" s="14" t="n">
        <v>2098.2</v>
      </c>
      <c r="E565" s="14" t="n">
        <v>2074.6</v>
      </c>
      <c r="F565" s="14" t="n">
        <v>2083.5</v>
      </c>
      <c r="G565" s="9">
        <f>F565-F564</f>
        <v/>
      </c>
      <c r="H565" s="10">
        <f>IF(F564=0,0,G565/F564)</f>
        <v/>
      </c>
      <c r="I565" s="8">
        <f>D565-E565</f>
        <v/>
      </c>
      <c r="J565" s="4">
        <f>IF(F565&gt;C565,"Up",IF(F565&lt;C565,"Down","Flat"))</f>
        <v/>
      </c>
      <c r="K565" s="14" t="n">
        <v>28.27</v>
      </c>
      <c r="L565" s="15" t="n">
        <v>63.8</v>
      </c>
      <c r="M565" s="14" t="n">
        <v>2044.69</v>
      </c>
      <c r="N565" s="14" t="n">
        <v>2012.59</v>
      </c>
      <c r="O565" s="14" t="n">
        <v>1955.54</v>
      </c>
      <c r="P565" s="4">
        <f>IF(O565="","",IF(F565&gt;O565,"Above","Below"))</f>
        <v/>
      </c>
      <c r="Q565" s="16" t="n">
        <v>129544</v>
      </c>
      <c r="R565" s="17" t="n">
        <v>0</v>
      </c>
      <c r="S565" s="17" t="n">
        <v>0</v>
      </c>
      <c r="T565" s="17" t="n">
        <v>0</v>
      </c>
      <c r="U565" s="18" t="n">
        <v>0</v>
      </c>
    </row>
    <row r="566">
      <c r="A566" s="13" t="n">
        <v>45289</v>
      </c>
      <c r="B566" s="4">
        <f>TEXT(A566,"ddd")</f>
        <v/>
      </c>
      <c r="C566" s="14" t="n">
        <v>2076.1</v>
      </c>
      <c r="D566" s="14" t="n">
        <v>2084.1</v>
      </c>
      <c r="E566" s="14" t="n">
        <v>2067.6</v>
      </c>
      <c r="F566" s="14" t="n">
        <v>2071.8</v>
      </c>
      <c r="G566" s="9">
        <f>F566-F565</f>
        <v/>
      </c>
      <c r="H566" s="10">
        <f>IF(F565=0,0,G566/F565)</f>
        <v/>
      </c>
      <c r="I566" s="8">
        <f>D566-E566</f>
        <v/>
      </c>
      <c r="J566" s="4">
        <f>IF(F566&gt;C566,"Up",IF(F566&lt;C566,"Down","Flat"))</f>
        <v/>
      </c>
      <c r="K566" s="14" t="n">
        <v>27.43</v>
      </c>
      <c r="L566" s="15" t="n">
        <v>59.77</v>
      </c>
      <c r="M566" s="14" t="n">
        <v>2047.27</v>
      </c>
      <c r="N566" s="14" t="n">
        <v>2014.91</v>
      </c>
      <c r="O566" s="14" t="n">
        <v>1956.69</v>
      </c>
      <c r="P566" s="4">
        <f>IF(O566="","",IF(F566&gt;O566,"Above","Below"))</f>
        <v/>
      </c>
      <c r="Q566" s="16" t="n">
        <v>105724</v>
      </c>
      <c r="R566" s="17" t="n">
        <v>0</v>
      </c>
      <c r="S566" s="17" t="n">
        <v>0</v>
      </c>
      <c r="T566" s="17" t="n">
        <v>0</v>
      </c>
      <c r="U566" s="18" t="n">
        <v>0</v>
      </c>
    </row>
    <row r="567">
      <c r="A567" s="13" t="n">
        <v>45293</v>
      </c>
      <c r="B567" s="4">
        <f>TEXT(A567,"ddd")</f>
        <v/>
      </c>
      <c r="C567" s="14" t="n">
        <v>2072.7</v>
      </c>
      <c r="D567" s="14" t="n">
        <v>2088.1</v>
      </c>
      <c r="E567" s="14" t="n">
        <v>2064.3</v>
      </c>
      <c r="F567" s="14" t="n">
        <v>2073.4</v>
      </c>
      <c r="G567" s="9">
        <f>F567-F566</f>
        <v/>
      </c>
      <c r="H567" s="10">
        <f>IF(F566=0,0,G567/F566)</f>
        <v/>
      </c>
      <c r="I567" s="8">
        <f>D567-E567</f>
        <v/>
      </c>
      <c r="J567" s="4">
        <f>IF(F567&gt;C567,"Up",IF(F567&lt;C567,"Down","Flat"))</f>
        <v/>
      </c>
      <c r="K567" s="14" t="n">
        <v>27.17</v>
      </c>
      <c r="L567" s="15" t="n">
        <v>60.14</v>
      </c>
      <c r="M567" s="14" t="n">
        <v>2049.76</v>
      </c>
      <c r="N567" s="14" t="n">
        <v>2017.21</v>
      </c>
      <c r="O567" s="14" t="n">
        <v>1957.85</v>
      </c>
      <c r="P567" s="4">
        <f>IF(O567="","",IF(F567&gt;O567,"Above","Below"))</f>
        <v/>
      </c>
      <c r="Q567" s="16" t="n">
        <v>157555</v>
      </c>
      <c r="R567" s="17" t="n">
        <v>0</v>
      </c>
      <c r="S567" s="17" t="n">
        <v>0</v>
      </c>
      <c r="T567" s="17" t="n">
        <v>0</v>
      </c>
      <c r="U567" s="18" t="n">
        <v>0</v>
      </c>
    </row>
    <row r="568">
      <c r="A568" s="13" t="n">
        <v>45294</v>
      </c>
      <c r="B568" s="4">
        <f>TEXT(A568,"ddd")</f>
        <v/>
      </c>
      <c r="C568" s="14" t="n">
        <v>2067.9</v>
      </c>
      <c r="D568" s="14" t="n">
        <v>2074.3</v>
      </c>
      <c r="E568" s="14" t="n">
        <v>2038.3</v>
      </c>
      <c r="F568" s="14" t="n">
        <v>2042.8</v>
      </c>
      <c r="G568" s="9">
        <f>F568-F567</f>
        <v/>
      </c>
      <c r="H568" s="10">
        <f>IF(F567=0,0,G568/F567)</f>
        <v/>
      </c>
      <c r="I568" s="8">
        <f>D568-E568</f>
        <v/>
      </c>
      <c r="J568" s="4">
        <f>IF(F568&gt;C568,"Up",IF(F568&lt;C568,"Down","Flat"))</f>
        <v/>
      </c>
      <c r="K568" s="14" t="n">
        <v>27.8</v>
      </c>
      <c r="L568" s="15" t="n">
        <v>50.55</v>
      </c>
      <c r="M568" s="14" t="n">
        <v>2049.1</v>
      </c>
      <c r="N568" s="14" t="n">
        <v>2018.21</v>
      </c>
      <c r="O568" s="14" t="n">
        <v>1958.7</v>
      </c>
      <c r="P568" s="4">
        <f>IF(O568="","",IF(F568&gt;O568,"Above","Below"))</f>
        <v/>
      </c>
      <c r="Q568" s="16" t="n">
        <v>221680</v>
      </c>
      <c r="R568" s="17" t="n">
        <v>0</v>
      </c>
      <c r="S568" s="17" t="n">
        <v>0</v>
      </c>
      <c r="T568" s="17" t="n">
        <v>0</v>
      </c>
      <c r="U568" s="18" t="n">
        <v>0</v>
      </c>
    </row>
    <row r="569">
      <c r="A569" s="13" t="n">
        <v>45295</v>
      </c>
      <c r="B569" s="4">
        <f>TEXT(A569,"ddd")</f>
        <v/>
      </c>
      <c r="C569" s="14" t="n">
        <v>2049.3</v>
      </c>
      <c r="D569" s="14" t="n">
        <v>2058.1</v>
      </c>
      <c r="E569" s="14" t="n">
        <v>2043.3</v>
      </c>
      <c r="F569" s="14" t="n">
        <v>2050</v>
      </c>
      <c r="G569" s="9">
        <f>F569-F568</f>
        <v/>
      </c>
      <c r="H569" s="10">
        <f>IF(F568=0,0,G569/F568)</f>
        <v/>
      </c>
      <c r="I569" s="8">
        <f>D569-E569</f>
        <v/>
      </c>
      <c r="J569" s="4">
        <f>IF(F569&gt;C569,"Up",IF(F569&lt;C569,"Down","Flat"))</f>
        <v/>
      </c>
      <c r="K569" s="14" t="n">
        <v>26.91</v>
      </c>
      <c r="L569" s="15" t="n">
        <v>52.47</v>
      </c>
      <c r="M569" s="14" t="n">
        <v>2049.18</v>
      </c>
      <c r="N569" s="14" t="n">
        <v>2019.46</v>
      </c>
      <c r="O569" s="14" t="n">
        <v>1959.61</v>
      </c>
      <c r="P569" s="4">
        <f>IF(O569="","",IF(F569&gt;O569,"Above","Below"))</f>
        <v/>
      </c>
      <c r="Q569" s="16" t="n">
        <v>130263</v>
      </c>
      <c r="R569" s="17" t="n">
        <v>0</v>
      </c>
      <c r="S569" s="17" t="n">
        <v>0</v>
      </c>
      <c r="T569" s="17" t="n">
        <v>0</v>
      </c>
      <c r="U569" s="18" t="n">
        <v>0</v>
      </c>
    </row>
    <row r="570">
      <c r="A570" s="13" t="n">
        <v>45296</v>
      </c>
      <c r="B570" s="4">
        <f>TEXT(A570,"ddd")</f>
        <v/>
      </c>
      <c r="C570" s="14" t="n">
        <v>2051.4</v>
      </c>
      <c r="D570" s="14" t="n">
        <v>2071.1</v>
      </c>
      <c r="E570" s="14" t="n">
        <v>2030.8</v>
      </c>
      <c r="F570" s="14" t="n">
        <v>2049.8</v>
      </c>
      <c r="G570" s="9">
        <f>F570-F569</f>
        <v/>
      </c>
      <c r="H570" s="10">
        <f>IF(F569=0,0,G570/F569)</f>
        <v/>
      </c>
      <c r="I570" s="8">
        <f>D570-E570</f>
        <v/>
      </c>
      <c r="J570" s="4">
        <f>IF(F570&gt;C570,"Up",IF(F570&lt;C570,"Down","Flat"))</f>
        <v/>
      </c>
      <c r="K570" s="14" t="n">
        <v>27.87</v>
      </c>
      <c r="L570" s="15" t="n">
        <v>52.41</v>
      </c>
      <c r="M570" s="14" t="n">
        <v>2049.24</v>
      </c>
      <c r="N570" s="14" t="n">
        <v>2020.65</v>
      </c>
      <c r="O570" s="14" t="n">
        <v>1960.51</v>
      </c>
      <c r="P570" s="4">
        <f>IF(O570="","",IF(F570&gt;O570,"Above","Below"))</f>
        <v/>
      </c>
      <c r="Q570" s="16" t="n">
        <v>214684</v>
      </c>
      <c r="R570" s="17" t="n">
        <v>0</v>
      </c>
      <c r="S570" s="17" t="n">
        <v>0</v>
      </c>
      <c r="T570" s="17" t="n">
        <v>0</v>
      </c>
      <c r="U570" s="18" t="n">
        <v>0</v>
      </c>
    </row>
    <row r="571">
      <c r="A571" s="13" t="n">
        <v>45299</v>
      </c>
      <c r="B571" s="4">
        <f>TEXT(A571,"ddd")</f>
        <v/>
      </c>
      <c r="C571" s="14" t="n">
        <v>2052.6</v>
      </c>
      <c r="D571" s="14" t="n">
        <v>2053.3</v>
      </c>
      <c r="E571" s="14" t="n">
        <v>2022.7</v>
      </c>
      <c r="F571" s="14" t="n">
        <v>2033.5</v>
      </c>
      <c r="G571" s="9">
        <f>F571-F570</f>
        <v/>
      </c>
      <c r="H571" s="10">
        <f>IF(F570=0,0,G571/F570)</f>
        <v/>
      </c>
      <c r="I571" s="8">
        <f>D571-E571</f>
        <v/>
      </c>
      <c r="J571" s="4">
        <f>IF(F571&gt;C571,"Up",IF(F571&lt;C571,"Down","Flat"))</f>
        <v/>
      </c>
      <c r="K571" s="14" t="n">
        <v>28.06</v>
      </c>
      <c r="L571" s="15" t="n">
        <v>47.57</v>
      </c>
      <c r="M571" s="14" t="n">
        <v>2047.74</v>
      </c>
      <c r="N571" s="14" t="n">
        <v>2021.15</v>
      </c>
      <c r="O571" s="14" t="n">
        <v>1961.23</v>
      </c>
      <c r="P571" s="4">
        <f>IF(O571="","",IF(F571&gt;O571,"Above","Below"))</f>
        <v/>
      </c>
      <c r="Q571" s="16" t="n">
        <v>220988</v>
      </c>
      <c r="R571" s="17" t="n">
        <v>0</v>
      </c>
      <c r="S571" s="17" t="n">
        <v>0</v>
      </c>
      <c r="T571" s="17" t="n">
        <v>0</v>
      </c>
      <c r="U571" s="18" t="n">
        <v>0</v>
      </c>
    </row>
    <row r="572">
      <c r="A572" s="13" t="n">
        <v>45300</v>
      </c>
      <c r="B572" s="4">
        <f>TEXT(A572,"ddd")</f>
        <v/>
      </c>
      <c r="C572" s="14" t="n">
        <v>2034.5</v>
      </c>
      <c r="D572" s="14" t="n">
        <v>2048.6</v>
      </c>
      <c r="E572" s="14" t="n">
        <v>2031.9</v>
      </c>
      <c r="F572" s="14" t="n">
        <v>2033</v>
      </c>
      <c r="G572" s="9">
        <f>F572-F571</f>
        <v/>
      </c>
      <c r="H572" s="10">
        <f>IF(F571=0,0,G572/F571)</f>
        <v/>
      </c>
      <c r="I572" s="8">
        <f>D572-E572</f>
        <v/>
      </c>
      <c r="J572" s="4">
        <f>IF(F572&gt;C572,"Up",IF(F572&lt;C572,"Down","Flat"))</f>
        <v/>
      </c>
      <c r="K572" s="14" t="n">
        <v>27.25</v>
      </c>
      <c r="L572" s="15" t="n">
        <v>47.42</v>
      </c>
      <c r="M572" s="14" t="n">
        <v>2046.34</v>
      </c>
      <c r="N572" s="14" t="n">
        <v>2021.62</v>
      </c>
      <c r="O572" s="14" t="n">
        <v>1961.95</v>
      </c>
      <c r="P572" s="4">
        <f>IF(O572="","",IF(F572&gt;O572,"Above","Below"))</f>
        <v/>
      </c>
      <c r="Q572" s="16" t="n">
        <v>218745</v>
      </c>
      <c r="R572" s="17" t="n">
        <v>0</v>
      </c>
      <c r="S572" s="17" t="n">
        <v>0</v>
      </c>
      <c r="T572" s="17" t="n">
        <v>0</v>
      </c>
      <c r="U572" s="18" t="n">
        <v>0</v>
      </c>
    </row>
    <row r="573">
      <c r="A573" s="13" t="n">
        <v>45301</v>
      </c>
      <c r="B573" s="4">
        <f>TEXT(A573,"ddd")</f>
        <v/>
      </c>
      <c r="C573" s="14" t="n">
        <v>2036</v>
      </c>
      <c r="D573" s="14" t="n">
        <v>2046.2</v>
      </c>
      <c r="E573" s="14" t="n">
        <v>2025.9</v>
      </c>
      <c r="F573" s="14" t="n">
        <v>2027.8</v>
      </c>
      <c r="G573" s="9">
        <f>F573-F572</f>
        <v/>
      </c>
      <c r="H573" s="10">
        <f>IF(F572=0,0,G573/F572)</f>
        <v/>
      </c>
      <c r="I573" s="8">
        <f>D573-E573</f>
        <v/>
      </c>
      <c r="J573" s="4">
        <f>IF(F573&gt;C573,"Up",IF(F573&lt;C573,"Down","Flat"))</f>
        <v/>
      </c>
      <c r="K573" s="14" t="n">
        <v>26.75</v>
      </c>
      <c r="L573" s="15" t="n">
        <v>45.86</v>
      </c>
      <c r="M573" s="14" t="n">
        <v>2044.57</v>
      </c>
      <c r="N573" s="14" t="n">
        <v>2021.86</v>
      </c>
      <c r="O573" s="14" t="n">
        <v>1962.6</v>
      </c>
      <c r="P573" s="4">
        <f>IF(O573="","",IF(F573&gt;O573,"Above","Below"))</f>
        <v/>
      </c>
      <c r="Q573" s="16" t="n">
        <v>205007</v>
      </c>
      <c r="R573" s="17" t="n">
        <v>0</v>
      </c>
      <c r="S573" s="17" t="n">
        <v>0</v>
      </c>
      <c r="T573" s="17" t="n">
        <v>0</v>
      </c>
      <c r="U573" s="18" t="n">
        <v>0</v>
      </c>
    </row>
    <row r="574">
      <c r="A574" s="13" t="n">
        <v>45302</v>
      </c>
      <c r="B574" s="4">
        <f>TEXT(A574,"ddd")</f>
        <v/>
      </c>
      <c r="C574" s="14" t="n">
        <v>2029.4</v>
      </c>
      <c r="D574" s="14" t="n">
        <v>2056.1</v>
      </c>
      <c r="E574" s="14" t="n">
        <v>2017.3</v>
      </c>
      <c r="F574" s="14" t="n">
        <v>2019.2</v>
      </c>
      <c r="G574" s="9">
        <f>F574-F573</f>
        <v/>
      </c>
      <c r="H574" s="10">
        <f>IF(F573=0,0,G574/F573)</f>
        <v/>
      </c>
      <c r="I574" s="8">
        <f>D574-E574</f>
        <v/>
      </c>
      <c r="J574" s="4">
        <f>IF(F574&gt;C574,"Up",IF(F574&lt;C574,"Down","Flat"))</f>
        <v/>
      </c>
      <c r="K574" s="14" t="n">
        <v>27.61</v>
      </c>
      <c r="L574" s="15" t="n">
        <v>43.31</v>
      </c>
      <c r="M574" s="14" t="n">
        <v>2042.16</v>
      </c>
      <c r="N574" s="14" t="n">
        <v>2021.75</v>
      </c>
      <c r="O574" s="14" t="n">
        <v>1963.16</v>
      </c>
      <c r="P574" s="4">
        <f>IF(O574="","",IF(F574&gt;O574,"Above","Below"))</f>
        <v/>
      </c>
      <c r="Q574" s="16" t="n">
        <v>301337</v>
      </c>
      <c r="R574" s="17" t="n">
        <v>0</v>
      </c>
      <c r="S574" s="17" t="n">
        <v>0</v>
      </c>
      <c r="T574" s="17" t="n">
        <v>0</v>
      </c>
      <c r="U574" s="18" t="n">
        <v>0</v>
      </c>
    </row>
    <row r="575">
      <c r="A575" s="13" t="n">
        <v>45303</v>
      </c>
      <c r="B575" s="4">
        <f>TEXT(A575,"ddd")</f>
        <v/>
      </c>
      <c r="C575" s="14" t="n">
        <v>2033.2</v>
      </c>
      <c r="D575" s="14" t="n">
        <v>2067.3</v>
      </c>
      <c r="E575" s="14" t="n">
        <v>2033.1</v>
      </c>
      <c r="F575" s="14" t="n">
        <v>2051.6</v>
      </c>
      <c r="G575" s="9">
        <f>F575-F574</f>
        <v/>
      </c>
      <c r="H575" s="10">
        <f>IF(F574=0,0,G575/F574)</f>
        <v/>
      </c>
      <c r="I575" s="8">
        <f>D575-E575</f>
        <v/>
      </c>
      <c r="J575" s="4">
        <f>IF(F575&gt;C575,"Up",IF(F575&lt;C575,"Down","Flat"))</f>
        <v/>
      </c>
      <c r="K575" s="14" t="n">
        <v>29.08</v>
      </c>
      <c r="L575" s="15" t="n">
        <v>53.73</v>
      </c>
      <c r="M575" s="14" t="n">
        <v>2043.06</v>
      </c>
      <c r="N575" s="14" t="n">
        <v>2022.93</v>
      </c>
      <c r="O575" s="14" t="n">
        <v>1964.04</v>
      </c>
      <c r="P575" s="4">
        <f>IF(O575="","",IF(F575&gt;O575,"Above","Below"))</f>
        <v/>
      </c>
      <c r="Q575" s="16" t="n">
        <v>272352</v>
      </c>
      <c r="R575" s="17" t="n">
        <v>0</v>
      </c>
      <c r="S575" s="17" t="n">
        <v>0</v>
      </c>
      <c r="T575" s="17" t="n">
        <v>0</v>
      </c>
      <c r="U575" s="18" t="n">
        <v>0</v>
      </c>
    </row>
    <row r="576">
      <c r="A576" s="13" t="n">
        <v>45307</v>
      </c>
      <c r="B576" s="4">
        <f>TEXT(A576,"ddd")</f>
        <v/>
      </c>
      <c r="C576" s="14" t="n">
        <v>2053.4</v>
      </c>
      <c r="D576" s="14" t="n">
        <v>2062.8</v>
      </c>
      <c r="E576" s="14" t="n">
        <v>2027.6</v>
      </c>
      <c r="F576" s="14" t="n">
        <v>2030.2</v>
      </c>
      <c r="G576" s="9">
        <f>F576-F575</f>
        <v/>
      </c>
      <c r="H576" s="10">
        <f>IF(F575=0,0,G576/F575)</f>
        <v/>
      </c>
      <c r="I576" s="8">
        <f>D576-E576</f>
        <v/>
      </c>
      <c r="J576" s="4">
        <f>IF(F576&gt;C576,"Up",IF(F576&lt;C576,"Down","Flat"))</f>
        <v/>
      </c>
      <c r="K576" s="14" t="n">
        <v>29.51</v>
      </c>
      <c r="L576" s="15" t="n">
        <v>47.52</v>
      </c>
      <c r="M576" s="14" t="n">
        <v>2041.83</v>
      </c>
      <c r="N576" s="14" t="n">
        <v>2023.21</v>
      </c>
      <c r="O576" s="14" t="n">
        <v>1964.7</v>
      </c>
      <c r="P576" s="4">
        <f>IF(O576="","",IF(F576&gt;O576,"Above","Below"))</f>
        <v/>
      </c>
      <c r="Q576" s="16" t="n">
        <v>285254</v>
      </c>
      <c r="R576" s="17" t="n">
        <v>0</v>
      </c>
      <c r="S576" s="17" t="n">
        <v>0</v>
      </c>
      <c r="T576" s="17" t="n">
        <v>0</v>
      </c>
      <c r="U576" s="18" t="n">
        <v>0</v>
      </c>
    </row>
    <row r="577">
      <c r="A577" s="13" t="n">
        <v>45308</v>
      </c>
      <c r="B577" s="4">
        <f>TEXT(A577,"ddd")</f>
        <v/>
      </c>
      <c r="C577" s="14" t="n">
        <v>2031.7</v>
      </c>
      <c r="D577" s="14" t="n">
        <v>2036.1</v>
      </c>
      <c r="E577" s="14" t="n">
        <v>2004.6</v>
      </c>
      <c r="F577" s="14" t="n">
        <v>2006.5</v>
      </c>
      <c r="G577" s="9">
        <f>F577-F576</f>
        <v/>
      </c>
      <c r="H577" s="10">
        <f>IF(F576=0,0,G577/F576)</f>
        <v/>
      </c>
      <c r="I577" s="8">
        <f>D577-E577</f>
        <v/>
      </c>
      <c r="J577" s="4">
        <f>IF(F577&gt;C577,"Up",IF(F577&lt;C577,"Down","Flat"))</f>
        <v/>
      </c>
      <c r="K577" s="14" t="n">
        <v>29.66</v>
      </c>
      <c r="L577" s="15" t="n">
        <v>41.76</v>
      </c>
      <c r="M577" s="14" t="n">
        <v>2038.47</v>
      </c>
      <c r="N577" s="14" t="n">
        <v>2022.56</v>
      </c>
      <c r="O577" s="14" t="n">
        <v>1965.12</v>
      </c>
      <c r="P577" s="4">
        <f>IF(O577="","",IF(F577&gt;O577,"Above","Below"))</f>
        <v/>
      </c>
      <c r="Q577" s="16" t="n">
        <v>254292</v>
      </c>
      <c r="R577" s="17" t="n">
        <v>0</v>
      </c>
      <c r="S577" s="17" t="n">
        <v>0</v>
      </c>
      <c r="T577" s="17" t="n">
        <v>0</v>
      </c>
      <c r="U577" s="18" t="n">
        <v>0</v>
      </c>
    </row>
    <row r="578">
      <c r="A578" s="13" t="n">
        <v>45309</v>
      </c>
      <c r="B578" s="4">
        <f>TEXT(A578,"ddd")</f>
        <v/>
      </c>
      <c r="C578" s="14" t="n">
        <v>2009.1</v>
      </c>
      <c r="D578" s="14" t="n">
        <v>2025.6</v>
      </c>
      <c r="E578" s="14" t="n">
        <v>2007.7</v>
      </c>
      <c r="F578" s="14" t="n">
        <v>2021.6</v>
      </c>
      <c r="G578" s="9">
        <f>F578-F577</f>
        <v/>
      </c>
      <c r="H578" s="10">
        <f>IF(F577=0,0,G578/F577)</f>
        <v/>
      </c>
      <c r="I578" s="8">
        <f>D578-E578</f>
        <v/>
      </c>
      <c r="J578" s="4">
        <f>IF(F578&gt;C578,"Up",IF(F578&lt;C578,"Down","Flat"))</f>
        <v/>
      </c>
      <c r="K578" s="14" t="n">
        <v>28.9</v>
      </c>
      <c r="L578" s="15" t="n">
        <v>46.23</v>
      </c>
      <c r="M578" s="14" t="n">
        <v>2036.86</v>
      </c>
      <c r="N578" s="14" t="n">
        <v>2022.52</v>
      </c>
      <c r="O578" s="14" t="n">
        <v>1965.68</v>
      </c>
      <c r="P578" s="4">
        <f>IF(O578="","",IF(F578&gt;O578,"Above","Below"))</f>
        <v/>
      </c>
      <c r="Q578" s="16" t="n">
        <v>171928</v>
      </c>
      <c r="R578" s="17" t="n">
        <v>0</v>
      </c>
      <c r="S578" s="17" t="n">
        <v>0</v>
      </c>
      <c r="T578" s="17" t="n">
        <v>0</v>
      </c>
      <c r="U578" s="18" t="n">
        <v>0</v>
      </c>
    </row>
    <row r="579">
      <c r="A579" s="13" t="n">
        <v>45310</v>
      </c>
      <c r="B579" s="4">
        <f>TEXT(A579,"ddd")</f>
        <v/>
      </c>
      <c r="C579" s="14" t="n">
        <v>2027.4</v>
      </c>
      <c r="D579" s="14" t="n">
        <v>2041.9</v>
      </c>
      <c r="E579" s="14" t="n">
        <v>2022.2</v>
      </c>
      <c r="F579" s="14" t="n">
        <v>2029.3</v>
      </c>
      <c r="G579" s="9">
        <f>F579-F578</f>
        <v/>
      </c>
      <c r="H579" s="10">
        <f>IF(F578=0,0,G579/F578)</f>
        <v/>
      </c>
      <c r="I579" s="8">
        <f>D579-E579</f>
        <v/>
      </c>
      <c r="J579" s="4">
        <f>IF(F579&gt;C579,"Up",IF(F579&lt;C579,"Down","Flat"))</f>
        <v/>
      </c>
      <c r="K579" s="14" t="n">
        <v>28.29</v>
      </c>
      <c r="L579" s="15" t="n">
        <v>48.41</v>
      </c>
      <c r="M579" s="14" t="n">
        <v>2036.14</v>
      </c>
      <c r="N579" s="14" t="n">
        <v>2022.78</v>
      </c>
      <c r="O579" s="14" t="n">
        <v>1966.31</v>
      </c>
      <c r="P579" s="4">
        <f>IF(O579="","",IF(F579&gt;O579,"Above","Below"))</f>
        <v/>
      </c>
      <c r="Q579" s="16" t="n">
        <v>172805</v>
      </c>
      <c r="R579" s="17" t="n">
        <v>0</v>
      </c>
      <c r="S579" s="17" t="n">
        <v>0</v>
      </c>
      <c r="T579" s="17" t="n">
        <v>0</v>
      </c>
      <c r="U579" s="18" t="n">
        <v>0</v>
      </c>
    </row>
    <row r="580">
      <c r="A580" s="13" t="n">
        <v>45313</v>
      </c>
      <c r="B580" s="4">
        <f>TEXT(A580,"ddd")</f>
        <v/>
      </c>
      <c r="C580" s="14" t="n">
        <v>2031.8</v>
      </c>
      <c r="D580" s="14" t="n">
        <v>2034.1</v>
      </c>
      <c r="E580" s="14" t="n">
        <v>2017.4</v>
      </c>
      <c r="F580" s="14" t="n">
        <v>2022.2</v>
      </c>
      <c r="G580" s="9">
        <f>F580-F579</f>
        <v/>
      </c>
      <c r="H580" s="10">
        <f>IF(F579=0,0,G580/F579)</f>
        <v/>
      </c>
      <c r="I580" s="8">
        <f>D580-E580</f>
        <v/>
      </c>
      <c r="J580" s="4">
        <f>IF(F580&gt;C580,"Up",IF(F580&lt;C580,"Down","Flat"))</f>
        <v/>
      </c>
      <c r="K580" s="14" t="n">
        <v>27.46</v>
      </c>
      <c r="L580" s="15" t="n">
        <v>46.54</v>
      </c>
      <c r="M580" s="14" t="n">
        <v>2034.81</v>
      </c>
      <c r="N580" s="14" t="n">
        <v>2022.76</v>
      </c>
      <c r="O580" s="14" t="n">
        <v>1966.87</v>
      </c>
      <c r="P580" s="4">
        <f>IF(O580="","",IF(F580&gt;O580,"Above","Below"))</f>
        <v/>
      </c>
      <c r="Q580" s="16" t="n">
        <v>152756</v>
      </c>
      <c r="R580" s="17" t="n">
        <v>0</v>
      </c>
      <c r="S580" s="17" t="n">
        <v>0</v>
      </c>
      <c r="T580" s="17" t="n">
        <v>0</v>
      </c>
      <c r="U580" s="18" t="n">
        <v>0</v>
      </c>
    </row>
    <row r="581">
      <c r="A581" s="13" t="n">
        <v>45314</v>
      </c>
      <c r="B581" s="4">
        <f>TEXT(A581,"ddd")</f>
        <v/>
      </c>
      <c r="C581" s="14" t="n">
        <v>2023.2</v>
      </c>
      <c r="D581" s="14" t="n">
        <v>2039.3</v>
      </c>
      <c r="E581" s="14" t="n">
        <v>2020.8</v>
      </c>
      <c r="F581" s="14" t="n">
        <v>2025.8</v>
      </c>
      <c r="G581" s="9">
        <f>F581-F580</f>
        <v/>
      </c>
      <c r="H581" s="10">
        <f>IF(F580=0,0,G581/F580)</f>
        <v/>
      </c>
      <c r="I581" s="8">
        <f>D581-E581</f>
        <v/>
      </c>
      <c r="J581" s="4">
        <f>IF(F581&gt;C581,"Up",IF(F581&lt;C581,"Down","Flat"))</f>
        <v/>
      </c>
      <c r="K581" s="14" t="n">
        <v>26.82</v>
      </c>
      <c r="L581" s="15" t="n">
        <v>47.64</v>
      </c>
      <c r="M581" s="14" t="n">
        <v>2033.95</v>
      </c>
      <c r="N581" s="14" t="n">
        <v>2022.88</v>
      </c>
      <c r="O581" s="14" t="n">
        <v>1967.46</v>
      </c>
      <c r="P581" s="4">
        <f>IF(O581="","",IF(F581&gt;O581,"Above","Below"))</f>
        <v/>
      </c>
      <c r="Q581" s="16" t="n">
        <v>156699</v>
      </c>
      <c r="R581" s="17" t="n">
        <v>0</v>
      </c>
      <c r="S581" s="17" t="n">
        <v>0</v>
      </c>
      <c r="T581" s="17" t="n">
        <v>0</v>
      </c>
      <c r="U581" s="18" t="n">
        <v>0</v>
      </c>
    </row>
    <row r="582">
      <c r="A582" s="13" t="n">
        <v>45315</v>
      </c>
      <c r="B582" s="4">
        <f>TEXT(A582,"ddd")</f>
        <v/>
      </c>
      <c r="C582" s="14" t="n">
        <v>2030.7</v>
      </c>
      <c r="D582" s="14" t="n">
        <v>2037.9</v>
      </c>
      <c r="E582" s="14" t="n">
        <v>2011.7</v>
      </c>
      <c r="F582" s="14" t="n">
        <v>2016</v>
      </c>
      <c r="G582" s="9">
        <f>F582-F581</f>
        <v/>
      </c>
      <c r="H582" s="10">
        <f>IF(F581=0,0,G582/F581)</f>
        <v/>
      </c>
      <c r="I582" s="8">
        <f>D582-E582</f>
        <v/>
      </c>
      <c r="J582" s="4">
        <f>IF(F582&gt;C582,"Up",IF(F582&lt;C582,"Down","Flat"))</f>
        <v/>
      </c>
      <c r="K582" s="14" t="n">
        <v>26.78</v>
      </c>
      <c r="L582" s="15" t="n">
        <v>44.92</v>
      </c>
      <c r="M582" s="14" t="n">
        <v>2032.24</v>
      </c>
      <c r="N582" s="14" t="n">
        <v>2022.61</v>
      </c>
      <c r="O582" s="14" t="n">
        <v>1967.94</v>
      </c>
      <c r="P582" s="4">
        <f>IF(O582="","",IF(F582&gt;O582,"Above","Below"))</f>
        <v/>
      </c>
      <c r="Q582" s="16" t="n">
        <v>234459</v>
      </c>
      <c r="R582" s="17" t="n">
        <v>0</v>
      </c>
      <c r="S582" s="17" t="n">
        <v>0</v>
      </c>
      <c r="T582" s="17" t="n">
        <v>0</v>
      </c>
      <c r="U582" s="18" t="n">
        <v>0</v>
      </c>
    </row>
    <row r="583">
      <c r="A583" s="13" t="n">
        <v>45316</v>
      </c>
      <c r="B583" s="4">
        <f>TEXT(A583,"ddd")</f>
        <v/>
      </c>
      <c r="C583" s="14" t="n">
        <v>2014.8</v>
      </c>
      <c r="D583" s="14" t="n">
        <v>2025.6</v>
      </c>
      <c r="E583" s="14" t="n">
        <v>2004</v>
      </c>
      <c r="F583" s="14" t="n">
        <v>2017.8</v>
      </c>
      <c r="G583" s="9">
        <f>F583-F582</f>
        <v/>
      </c>
      <c r="H583" s="10">
        <f>IF(F582=0,0,G583/F582)</f>
        <v/>
      </c>
      <c r="I583" s="8">
        <f>D583-E583</f>
        <v/>
      </c>
      <c r="J583" s="4">
        <f>IF(F583&gt;C583,"Up",IF(F583&lt;C583,"Down","Flat"))</f>
        <v/>
      </c>
      <c r="K583" s="14" t="n">
        <v>26.41</v>
      </c>
      <c r="L583" s="15" t="n">
        <v>45.54</v>
      </c>
      <c r="M583" s="14" t="n">
        <v>2030.87</v>
      </c>
      <c r="N583" s="14" t="n">
        <v>2022.42</v>
      </c>
      <c r="O583" s="14" t="n">
        <v>1968.44</v>
      </c>
      <c r="P583" s="4">
        <f>IF(O583="","",IF(F583&gt;O583,"Above","Below"))</f>
        <v/>
      </c>
      <c r="Q583" s="16" t="n">
        <v>196670</v>
      </c>
      <c r="R583" s="17" t="n">
        <v>0</v>
      </c>
      <c r="S583" s="17" t="n">
        <v>0</v>
      </c>
      <c r="T583" s="17" t="n">
        <v>0</v>
      </c>
      <c r="U583" s="18" t="n">
        <v>0</v>
      </c>
    </row>
    <row r="584">
      <c r="A584" s="13" t="n">
        <v>45317</v>
      </c>
      <c r="B584" s="4">
        <f>TEXT(A584,"ddd")</f>
        <v/>
      </c>
      <c r="C584" s="14" t="n">
        <v>2021</v>
      </c>
      <c r="D584" s="14" t="n">
        <v>2028.1</v>
      </c>
      <c r="E584" s="14" t="n">
        <v>2015.6</v>
      </c>
      <c r="F584" s="14" t="n">
        <v>2017.3</v>
      </c>
      <c r="G584" s="9">
        <f>F584-F583</f>
        <v/>
      </c>
      <c r="H584" s="10">
        <f>IF(F583=0,0,G584/F583)</f>
        <v/>
      </c>
      <c r="I584" s="8">
        <f>D584-E584</f>
        <v/>
      </c>
      <c r="J584" s="4">
        <f>IF(F584&gt;C584,"Up",IF(F584&lt;C584,"Down","Flat"))</f>
        <v/>
      </c>
      <c r="K584" s="14" t="n">
        <v>25.41</v>
      </c>
      <c r="L584" s="15" t="n">
        <v>45.38</v>
      </c>
      <c r="M584" s="14" t="n">
        <v>2029.58</v>
      </c>
      <c r="N584" s="14" t="n">
        <v>2022.22</v>
      </c>
      <c r="O584" s="14" t="n">
        <v>1968.92</v>
      </c>
      <c r="P584" s="4">
        <f>IF(O584="","",IF(F584&gt;O584,"Above","Below"))</f>
        <v/>
      </c>
      <c r="Q584" s="16" t="n">
        <v>119588</v>
      </c>
      <c r="R584" s="17" t="n">
        <v>0</v>
      </c>
      <c r="S584" s="17" t="n">
        <v>0</v>
      </c>
      <c r="T584" s="17" t="n">
        <v>0</v>
      </c>
      <c r="U584" s="18" t="n">
        <v>0</v>
      </c>
    </row>
    <row r="585">
      <c r="A585" s="13" t="n">
        <v>45320</v>
      </c>
      <c r="B585" s="4">
        <f>TEXT(A585,"ddd")</f>
        <v/>
      </c>
      <c r="C585" s="14" t="n">
        <v>2024.4</v>
      </c>
      <c r="D585" s="14" t="n">
        <v>2037.2</v>
      </c>
      <c r="E585" s="14" t="n">
        <v>2018.8</v>
      </c>
      <c r="F585" s="14" t="n">
        <v>2025.4</v>
      </c>
      <c r="G585" s="9">
        <f>F585-F584</f>
        <v/>
      </c>
      <c r="H585" s="10">
        <f>IF(F584=0,0,G585/F584)</f>
        <v/>
      </c>
      <c r="I585" s="8">
        <f>D585-E585</f>
        <v/>
      </c>
      <c r="J585" s="4">
        <f>IF(F585&gt;C585,"Up",IF(F585&lt;C585,"Down","Flat"))</f>
        <v/>
      </c>
      <c r="K585" s="14" t="n">
        <v>25.02</v>
      </c>
      <c r="L585" s="15" t="n">
        <v>48.38</v>
      </c>
      <c r="M585" s="14" t="n">
        <v>2029.18</v>
      </c>
      <c r="N585" s="14" t="n">
        <v>2022.35</v>
      </c>
      <c r="O585" s="14" t="n">
        <v>1969.48</v>
      </c>
      <c r="P585" s="4">
        <f>IF(O585="","",IF(F585&gt;O585,"Above","Below"))</f>
        <v/>
      </c>
      <c r="Q585" s="16" t="n">
        <v>150708</v>
      </c>
      <c r="R585" s="17" t="n">
        <v>0</v>
      </c>
      <c r="S585" s="17" t="n">
        <v>0</v>
      </c>
      <c r="T585" s="17" t="n">
        <v>0</v>
      </c>
      <c r="U585" s="18" t="n">
        <v>0</v>
      </c>
    </row>
    <row r="586">
      <c r="A586" s="13" t="n">
        <v>45321</v>
      </c>
      <c r="B586" s="4">
        <f>TEXT(A586,"ddd")</f>
        <v/>
      </c>
      <c r="C586" s="14" t="n">
        <v>2032.5</v>
      </c>
      <c r="D586" s="14" t="n">
        <v>2048.5</v>
      </c>
      <c r="E586" s="14" t="n">
        <v>2028.1</v>
      </c>
      <c r="F586" s="14" t="n">
        <v>2031.5</v>
      </c>
      <c r="G586" s="9">
        <f>F586-F585</f>
        <v/>
      </c>
      <c r="H586" s="10">
        <f>IF(F585=0,0,G586/F585)</f>
        <v/>
      </c>
      <c r="I586" s="8">
        <f>D586-E586</f>
        <v/>
      </c>
      <c r="J586" s="4">
        <f>IF(F586&gt;C586,"Up",IF(F586&lt;C586,"Down","Flat"))</f>
        <v/>
      </c>
      <c r="K586" s="14" t="n">
        <v>24.88</v>
      </c>
      <c r="L586" s="15" t="n">
        <v>50.58</v>
      </c>
      <c r="M586" s="14" t="n">
        <v>2029.4</v>
      </c>
      <c r="N586" s="14" t="n">
        <v>2022.7</v>
      </c>
      <c r="O586" s="14" t="n">
        <v>1970.1</v>
      </c>
      <c r="P586" s="4">
        <f>IF(O586="","",IF(F586&gt;O586,"Above","Below"))</f>
        <v/>
      </c>
      <c r="Q586" s="16" t="n">
        <v>26907</v>
      </c>
      <c r="R586" s="17" t="n">
        <v>0</v>
      </c>
      <c r="S586" s="17" t="n">
        <v>0</v>
      </c>
      <c r="T586" s="17" t="n">
        <v>0</v>
      </c>
      <c r="U586" s="18" t="n">
        <v>0</v>
      </c>
    </row>
    <row r="587">
      <c r="A587" s="13" t="n">
        <v>45322</v>
      </c>
      <c r="B587" s="4">
        <f>TEXT(A587,"ddd")</f>
        <v/>
      </c>
      <c r="C587" s="14" t="n">
        <v>2035.4</v>
      </c>
      <c r="D587" s="14" t="n">
        <v>2055</v>
      </c>
      <c r="E587" s="14" t="n">
        <v>2030</v>
      </c>
      <c r="F587" s="14" t="n">
        <v>2048.4</v>
      </c>
      <c r="G587" s="9">
        <f>F587-F586</f>
        <v/>
      </c>
      <c r="H587" s="10">
        <f>IF(F586=0,0,G587/F586)</f>
        <v/>
      </c>
      <c r="I587" s="8">
        <f>D587-E587</f>
        <v/>
      </c>
      <c r="J587" s="4">
        <f>IF(F587&gt;C587,"Up",IF(F587&lt;C587,"Down","Flat"))</f>
        <v/>
      </c>
      <c r="K587" s="14" t="n">
        <v>24.89</v>
      </c>
      <c r="L587" s="15" t="n">
        <v>56.16</v>
      </c>
      <c r="M587" s="14" t="n">
        <v>2031.21</v>
      </c>
      <c r="N587" s="14" t="n">
        <v>2023.71</v>
      </c>
      <c r="O587" s="14" t="n">
        <v>1970.88</v>
      </c>
      <c r="P587" s="4">
        <f>IF(O587="","",IF(F587&gt;O587,"Above","Below"))</f>
        <v/>
      </c>
      <c r="Q587" s="16" t="n">
        <v>238373</v>
      </c>
      <c r="R587" s="17" t="n">
        <v>0</v>
      </c>
      <c r="S587" s="17" t="n">
        <v>0</v>
      </c>
      <c r="T587" s="17" t="n">
        <v>0</v>
      </c>
      <c r="U587" s="18" t="n">
        <v>0</v>
      </c>
    </row>
    <row r="588">
      <c r="A588" s="13" t="n">
        <v>45323</v>
      </c>
      <c r="B588" s="4">
        <f>TEXT(A588,"ddd")</f>
        <v/>
      </c>
      <c r="C588" s="14" t="n">
        <v>2057.9</v>
      </c>
      <c r="D588" s="14" t="n">
        <v>2083.2</v>
      </c>
      <c r="E588" s="14" t="n">
        <v>2046.4</v>
      </c>
      <c r="F588" s="14" t="n">
        <v>2071.1</v>
      </c>
      <c r="G588" s="9">
        <f>F588-F587</f>
        <v/>
      </c>
      <c r="H588" s="10">
        <f>IF(F587=0,0,G588/F587)</f>
        <v/>
      </c>
      <c r="I588" s="8">
        <f>D588-E588</f>
        <v/>
      </c>
      <c r="J588" s="4">
        <f>IF(F588&gt;C588,"Up",IF(F588&lt;C588,"Down","Flat"))</f>
        <v/>
      </c>
      <c r="K588" s="14" t="n">
        <v>25.74</v>
      </c>
      <c r="L588" s="15" t="n">
        <v>62.31</v>
      </c>
      <c r="M588" s="14" t="n">
        <v>2035.01</v>
      </c>
      <c r="N588" s="14" t="n">
        <v>2025.57</v>
      </c>
      <c r="O588" s="14" t="n">
        <v>1971.88</v>
      </c>
      <c r="P588" s="4">
        <f>IF(O588="","",IF(F588&gt;O588,"Above","Below"))</f>
        <v/>
      </c>
      <c r="Q588" s="16" t="n">
        <v>260921</v>
      </c>
      <c r="R588" s="17" t="n">
        <v>0</v>
      </c>
      <c r="S588" s="17" t="n">
        <v>0</v>
      </c>
      <c r="T588" s="17" t="n">
        <v>0</v>
      </c>
      <c r="U588" s="18" t="n">
        <v>0</v>
      </c>
    </row>
    <row r="589">
      <c r="A589" s="13" t="n">
        <v>45324</v>
      </c>
      <c r="B589" s="4">
        <f>TEXT(A589,"ddd")</f>
        <v/>
      </c>
      <c r="C589" s="14" t="n">
        <v>2072</v>
      </c>
      <c r="D589" s="14" t="n">
        <v>2074.7</v>
      </c>
      <c r="E589" s="14" t="n">
        <v>2044.2</v>
      </c>
      <c r="F589" s="14" t="n">
        <v>2053.7</v>
      </c>
      <c r="G589" s="9">
        <f>F589-F588</f>
        <v/>
      </c>
      <c r="H589" s="10">
        <f>IF(F588=0,0,G589/F588)</f>
        <v/>
      </c>
      <c r="I589" s="8">
        <f>D589-E589</f>
        <v/>
      </c>
      <c r="J589" s="4">
        <f>IF(F589&gt;C589,"Up",IF(F589&lt;C589,"Down","Flat"))</f>
        <v/>
      </c>
      <c r="K589" s="14" t="n">
        <v>26.08</v>
      </c>
      <c r="L589" s="15" t="n">
        <v>55.84</v>
      </c>
      <c r="M589" s="14" t="n">
        <v>2036.79</v>
      </c>
      <c r="N589" s="14" t="n">
        <v>2026.67</v>
      </c>
      <c r="O589" s="14" t="n">
        <v>1972.69</v>
      </c>
      <c r="P589" s="4">
        <f>IF(O589="","",IF(F589&gt;O589,"Above","Below"))</f>
        <v/>
      </c>
      <c r="Q589" s="16" t="n">
        <v>219800</v>
      </c>
      <c r="R589" s="17" t="n">
        <v>0</v>
      </c>
      <c r="S589" s="17" t="n">
        <v>0</v>
      </c>
      <c r="T589" s="17" t="n">
        <v>0</v>
      </c>
      <c r="U589" s="18" t="n">
        <v>0</v>
      </c>
    </row>
    <row r="590">
      <c r="A590" s="13" t="n">
        <v>45327</v>
      </c>
      <c r="B590" s="4">
        <f>TEXT(A590,"ddd")</f>
        <v/>
      </c>
      <c r="C590" s="14" t="n">
        <v>2057.9</v>
      </c>
      <c r="D590" s="14" t="n">
        <v>2059.1</v>
      </c>
      <c r="E590" s="14" t="n">
        <v>2030.8</v>
      </c>
      <c r="F590" s="14" t="n">
        <v>2042.9</v>
      </c>
      <c r="G590" s="9">
        <f>F590-F589</f>
        <v/>
      </c>
      <c r="H590" s="10">
        <f>IF(F589=0,0,G590/F589)</f>
        <v/>
      </c>
      <c r="I590" s="8">
        <f>D590-E590</f>
        <v/>
      </c>
      <c r="J590" s="4">
        <f>IF(F590&gt;C590,"Up",IF(F590&lt;C590,"Down","Flat"))</f>
        <v/>
      </c>
      <c r="K590" s="14" t="n">
        <v>26.24</v>
      </c>
      <c r="L590" s="15" t="n">
        <v>52.22</v>
      </c>
      <c r="M590" s="14" t="n">
        <v>2037.37</v>
      </c>
      <c r="N590" s="14" t="n">
        <v>2027.31</v>
      </c>
      <c r="O590" s="14" t="n">
        <v>1973.39</v>
      </c>
      <c r="P590" s="4">
        <f>IF(O590="","",IF(F590&gt;O590,"Above","Below"))</f>
        <v/>
      </c>
      <c r="Q590" s="16" t="n">
        <v>170431</v>
      </c>
      <c r="R590" s="17" t="n">
        <v>0</v>
      </c>
      <c r="S590" s="17" t="n">
        <v>0</v>
      </c>
      <c r="T590" s="17" t="n">
        <v>0</v>
      </c>
      <c r="U590" s="18" t="n">
        <v>0</v>
      </c>
    </row>
    <row r="591">
      <c r="A591" s="13" t="n">
        <v>45328</v>
      </c>
      <c r="B591" s="4">
        <f>TEXT(A591,"ddd")</f>
        <v/>
      </c>
      <c r="C591" s="14" t="n">
        <v>2041.4</v>
      </c>
      <c r="D591" s="14" t="n">
        <v>2055.3</v>
      </c>
      <c r="E591" s="14" t="n">
        <v>2038.8</v>
      </c>
      <c r="F591" s="14" t="n">
        <v>2051.4</v>
      </c>
      <c r="G591" s="9">
        <f>F591-F590</f>
        <v/>
      </c>
      <c r="H591" s="10">
        <f>IF(F590=0,0,G591/F590)</f>
        <v/>
      </c>
      <c r="I591" s="8">
        <f>D591-E591</f>
        <v/>
      </c>
      <c r="J591" s="4">
        <f>IF(F591&gt;C591,"Up",IF(F591&lt;C591,"Down","Flat"))</f>
        <v/>
      </c>
      <c r="K591" s="14" t="n">
        <v>25.54</v>
      </c>
      <c r="L591" s="15" t="n">
        <v>54.71</v>
      </c>
      <c r="M591" s="14" t="n">
        <v>2038.71</v>
      </c>
      <c r="N591" s="14" t="n">
        <v>2028.25</v>
      </c>
      <c r="O591" s="14" t="n">
        <v>1974.17</v>
      </c>
      <c r="P591" s="4">
        <f>IF(O591="","",IF(F591&gt;O591,"Above","Below"))</f>
        <v/>
      </c>
      <c r="Q591" s="16" t="n">
        <v>126384</v>
      </c>
      <c r="R591" s="17" t="n">
        <v>0</v>
      </c>
      <c r="S591" s="17" t="n">
        <v>0</v>
      </c>
      <c r="T591" s="17" t="n">
        <v>0</v>
      </c>
      <c r="U591" s="18" t="n">
        <v>0</v>
      </c>
    </row>
    <row r="592">
      <c r="A592" s="13" t="n">
        <v>45329</v>
      </c>
      <c r="B592" s="4">
        <f>TEXT(A592,"ddd")</f>
        <v/>
      </c>
      <c r="C592" s="14" t="n">
        <v>2052.6</v>
      </c>
      <c r="D592" s="14" t="n">
        <v>2061.3</v>
      </c>
      <c r="E592" s="14" t="n">
        <v>2046.4</v>
      </c>
      <c r="F592" s="14" t="n">
        <v>2051.7</v>
      </c>
      <c r="G592" s="9">
        <f>F592-F591</f>
        <v/>
      </c>
      <c r="H592" s="10">
        <f>IF(F591=0,0,G592/F591)</f>
        <v/>
      </c>
      <c r="I592" s="8">
        <f>D592-E592</f>
        <v/>
      </c>
      <c r="J592" s="4">
        <f>IF(F592&gt;C592,"Up",IF(F592&lt;C592,"Down","Flat"))</f>
        <v/>
      </c>
      <c r="K592" s="14" t="n">
        <v>24.78</v>
      </c>
      <c r="L592" s="15" t="n">
        <v>54.8</v>
      </c>
      <c r="M592" s="14" t="n">
        <v>2039.94</v>
      </c>
      <c r="N592" s="14" t="n">
        <v>2029.17</v>
      </c>
      <c r="O592" s="14" t="n">
        <v>1974.94</v>
      </c>
      <c r="P592" s="4">
        <f>IF(O592="","",IF(F592&gt;O592,"Above","Below"))</f>
        <v/>
      </c>
      <c r="Q592" s="16" t="n">
        <v>125631</v>
      </c>
      <c r="R592" s="17" t="n">
        <v>0</v>
      </c>
      <c r="S592" s="17" t="n">
        <v>0</v>
      </c>
      <c r="T592" s="17" t="n">
        <v>0</v>
      </c>
      <c r="U592" s="18" t="n">
        <v>0</v>
      </c>
    </row>
    <row r="593">
      <c r="A593" s="13" t="n">
        <v>45330</v>
      </c>
      <c r="B593" s="4">
        <f>TEXT(A593,"ddd")</f>
        <v/>
      </c>
      <c r="C593" s="14" t="n">
        <v>2051</v>
      </c>
      <c r="D593" s="14" t="n">
        <v>2053.8</v>
      </c>
      <c r="E593" s="14" t="n">
        <v>2034.6</v>
      </c>
      <c r="F593" s="14" t="n">
        <v>2047.9</v>
      </c>
      <c r="G593" s="9">
        <f>F593-F592</f>
        <v/>
      </c>
      <c r="H593" s="10">
        <f>IF(F592=0,0,G593/F592)</f>
        <v/>
      </c>
      <c r="I593" s="8">
        <f>D593-E593</f>
        <v/>
      </c>
      <c r="J593" s="4">
        <f>IF(F593&gt;C593,"Up",IF(F593&lt;C593,"Down","Flat"))</f>
        <v/>
      </c>
      <c r="K593" s="14" t="n">
        <v>24.38</v>
      </c>
      <c r="L593" s="15" t="n">
        <v>53.36</v>
      </c>
      <c r="M593" s="14" t="n">
        <v>2040.7</v>
      </c>
      <c r="N593" s="14" t="n">
        <v>2029.91</v>
      </c>
      <c r="O593" s="14" t="n">
        <v>1975.66</v>
      </c>
      <c r="P593" s="4">
        <f>IF(O593="","",IF(F593&gt;O593,"Above","Below"))</f>
        <v/>
      </c>
      <c r="Q593" s="16" t="n">
        <v>137076</v>
      </c>
      <c r="R593" s="17" t="n">
        <v>0</v>
      </c>
      <c r="S593" s="17" t="n">
        <v>0</v>
      </c>
      <c r="T593" s="17" t="n">
        <v>0</v>
      </c>
      <c r="U593" s="18" t="n">
        <v>0</v>
      </c>
    </row>
    <row r="594">
      <c r="A594" s="13" t="n">
        <v>45331</v>
      </c>
      <c r="B594" s="4">
        <f>TEXT(A594,"ddd")</f>
        <v/>
      </c>
      <c r="C594" s="14" t="n">
        <v>2049.7</v>
      </c>
      <c r="D594" s="14" t="n">
        <v>2051.9</v>
      </c>
      <c r="E594" s="14" t="n">
        <v>2034.3</v>
      </c>
      <c r="F594" s="14" t="n">
        <v>2038.7</v>
      </c>
      <c r="G594" s="9">
        <f>F594-F593</f>
        <v/>
      </c>
      <c r="H594" s="10">
        <f>IF(F593=0,0,G594/F593)</f>
        <v/>
      </c>
      <c r="I594" s="8">
        <f>D594-E594</f>
        <v/>
      </c>
      <c r="J594" s="4">
        <f>IF(F594&gt;C594,"Up",IF(F594&lt;C594,"Down","Flat"))</f>
        <v/>
      </c>
      <c r="K594" s="14" t="n">
        <v>23.9</v>
      </c>
      <c r="L594" s="15" t="n">
        <v>49.94</v>
      </c>
      <c r="M594" s="14" t="n">
        <v>2040.51</v>
      </c>
      <c r="N594" s="14" t="n">
        <v>2030.25</v>
      </c>
      <c r="O594" s="14" t="n">
        <v>1976.29</v>
      </c>
      <c r="P594" s="4">
        <f>IF(O594="","",IF(F594&gt;O594,"Above","Below"))</f>
        <v/>
      </c>
      <c r="Q594" s="16" t="n">
        <v>116031</v>
      </c>
      <c r="R594" s="17" t="n">
        <v>0</v>
      </c>
      <c r="S594" s="17" t="n">
        <v>0</v>
      </c>
      <c r="T594" s="17" t="n">
        <v>0</v>
      </c>
      <c r="U594" s="18" t="n">
        <v>0</v>
      </c>
    </row>
    <row r="595">
      <c r="A595" s="13" t="n">
        <v>45334</v>
      </c>
      <c r="B595" s="4">
        <f>TEXT(A595,"ddd")</f>
        <v/>
      </c>
      <c r="C595" s="14" t="n">
        <v>2038.2</v>
      </c>
      <c r="D595" s="14" t="n">
        <v>2041.8</v>
      </c>
      <c r="E595" s="14" t="n">
        <v>2025.4</v>
      </c>
      <c r="F595" s="14" t="n">
        <v>2033</v>
      </c>
      <c r="G595" s="9">
        <f>F595-F594</f>
        <v/>
      </c>
      <c r="H595" s="10">
        <f>IF(F594=0,0,G595/F594)</f>
        <v/>
      </c>
      <c r="I595" s="8">
        <f>D595-E595</f>
        <v/>
      </c>
      <c r="J595" s="4">
        <f>IF(F595&gt;C595,"Up",IF(F595&lt;C595,"Down","Flat"))</f>
        <v/>
      </c>
      <c r="K595" s="14" t="n">
        <v>23.36</v>
      </c>
      <c r="L595" s="15" t="n">
        <v>47.89</v>
      </c>
      <c r="M595" s="14" t="n">
        <v>2039.8</v>
      </c>
      <c r="N595" s="14" t="n">
        <v>2030.36</v>
      </c>
      <c r="O595" s="14" t="n">
        <v>1976.86</v>
      </c>
      <c r="P595" s="4">
        <f>IF(O595="","",IF(F595&gt;O595,"Above","Below"))</f>
        <v/>
      </c>
      <c r="Q595" s="16" t="n">
        <v>116025</v>
      </c>
      <c r="R595" s="17" t="n">
        <v>0</v>
      </c>
      <c r="S595" s="17" t="n">
        <v>0</v>
      </c>
      <c r="T595" s="17" t="n">
        <v>0</v>
      </c>
      <c r="U595" s="18" t="n">
        <v>0</v>
      </c>
    </row>
    <row r="596">
      <c r="A596" s="13" t="n">
        <v>45335</v>
      </c>
      <c r="B596" s="4">
        <f>TEXT(A596,"ddd")</f>
        <v/>
      </c>
      <c r="C596" s="14" t="n">
        <v>2033.7</v>
      </c>
      <c r="D596" s="14" t="n">
        <v>2047.3</v>
      </c>
      <c r="E596" s="14" t="n">
        <v>2002.8</v>
      </c>
      <c r="F596" s="14" t="n">
        <v>2007.2</v>
      </c>
      <c r="G596" s="9">
        <f>F596-F595</f>
        <v/>
      </c>
      <c r="H596" s="10">
        <f>IF(F595=0,0,G596/F595)</f>
        <v/>
      </c>
      <c r="I596" s="8">
        <f>D596-E596</f>
        <v/>
      </c>
      <c r="J596" s="4">
        <f>IF(F596&gt;C596,"Up",IF(F596&lt;C596,"Down","Flat"))</f>
        <v/>
      </c>
      <c r="K596" s="14" t="n">
        <v>24.87</v>
      </c>
      <c r="L596" s="15" t="n">
        <v>39.91</v>
      </c>
      <c r="M596" s="14" t="n">
        <v>2036.69</v>
      </c>
      <c r="N596" s="14" t="n">
        <v>2029.45</v>
      </c>
      <c r="O596" s="14" t="n">
        <v>1977.16</v>
      </c>
      <c r="P596" s="4">
        <f>IF(O596="","",IF(F596&gt;O596,"Above","Below"))</f>
        <v/>
      </c>
      <c r="Q596" s="16" t="n">
        <v>217571</v>
      </c>
      <c r="R596" s="17" t="n">
        <v>0</v>
      </c>
      <c r="S596" s="17" t="n">
        <v>0</v>
      </c>
      <c r="T596" s="17" t="n">
        <v>0</v>
      </c>
      <c r="U596" s="18" t="n">
        <v>0</v>
      </c>
    </row>
    <row r="597">
      <c r="A597" s="13" t="n">
        <v>45336</v>
      </c>
      <c r="B597" s="4">
        <f>TEXT(A597,"ddd")</f>
        <v/>
      </c>
      <c r="C597" s="14" t="n">
        <v>2006.3</v>
      </c>
      <c r="D597" s="14" t="n">
        <v>2008.8</v>
      </c>
      <c r="E597" s="14" t="n">
        <v>1996.4</v>
      </c>
      <c r="F597" s="14" t="n">
        <v>2004.3</v>
      </c>
      <c r="G597" s="9">
        <f>F597-F596</f>
        <v/>
      </c>
      <c r="H597" s="10">
        <f>IF(F596=0,0,G597/F596)</f>
        <v/>
      </c>
      <c r="I597" s="8">
        <f>D597-E597</f>
        <v/>
      </c>
      <c r="J597" s="4">
        <f>IF(F597&gt;C597,"Up",IF(F597&lt;C597,"Down","Flat"))</f>
        <v/>
      </c>
      <c r="K597" s="14" t="n">
        <v>23.98</v>
      </c>
      <c r="L597" s="15" t="n">
        <v>39.13</v>
      </c>
      <c r="M597" s="14" t="n">
        <v>2033.61</v>
      </c>
      <c r="N597" s="14" t="n">
        <v>2028.47</v>
      </c>
      <c r="O597" s="14" t="n">
        <v>1977.43</v>
      </c>
      <c r="P597" s="4">
        <f>IF(O597="","",IF(F597&gt;O597,"Above","Below"))</f>
        <v/>
      </c>
      <c r="Q597" s="16" t="n">
        <v>193607</v>
      </c>
      <c r="R597" s="17" t="n">
        <v>0</v>
      </c>
      <c r="S597" s="17" t="n">
        <v>0</v>
      </c>
      <c r="T597" s="17" t="n">
        <v>0</v>
      </c>
      <c r="U597" s="18" t="n">
        <v>0</v>
      </c>
    </row>
    <row r="598">
      <c r="A598" s="13" t="n">
        <v>45337</v>
      </c>
      <c r="B598" s="4">
        <f>TEXT(A598,"ddd")</f>
        <v/>
      </c>
      <c r="C598" s="14" t="n">
        <v>2004.8</v>
      </c>
      <c r="D598" s="14" t="n">
        <v>2020.2</v>
      </c>
      <c r="E598" s="14" t="n">
        <v>2001.8</v>
      </c>
      <c r="F598" s="14" t="n">
        <v>2014.9</v>
      </c>
      <c r="G598" s="9">
        <f>F598-F597</f>
        <v/>
      </c>
      <c r="H598" s="10">
        <f>IF(F597=0,0,G598/F597)</f>
        <v/>
      </c>
      <c r="I598" s="8">
        <f>D598-E598</f>
        <v/>
      </c>
      <c r="J598" s="4">
        <f>IF(F598&gt;C598,"Up",IF(F598&lt;C598,"Down","Flat"))</f>
        <v/>
      </c>
      <c r="K598" s="14" t="n">
        <v>23.58</v>
      </c>
      <c r="L598" s="15" t="n">
        <v>43.52</v>
      </c>
      <c r="M598" s="14" t="n">
        <v>2031.83</v>
      </c>
      <c r="N598" s="14" t="n">
        <v>2027.93</v>
      </c>
      <c r="O598" s="14" t="n">
        <v>1977.8</v>
      </c>
      <c r="P598" s="4">
        <f>IF(O598="","",IF(F598&gt;O598,"Above","Below"))</f>
        <v/>
      </c>
      <c r="Q598" s="16" t="n">
        <v>204249</v>
      </c>
      <c r="R598" s="17" t="n">
        <v>0</v>
      </c>
      <c r="S598" s="17" t="n">
        <v>0</v>
      </c>
      <c r="T598" s="17" t="n">
        <v>0</v>
      </c>
      <c r="U598" s="18" t="n">
        <v>0</v>
      </c>
    </row>
    <row r="599">
      <c r="A599" s="13" t="n">
        <v>45338</v>
      </c>
      <c r="B599" s="4">
        <f>TEXT(A599,"ddd")</f>
        <v/>
      </c>
      <c r="C599" s="14" t="n">
        <v>2016.1</v>
      </c>
      <c r="D599" s="14" t="n">
        <v>2027.2</v>
      </c>
      <c r="E599" s="14" t="n">
        <v>2006.6</v>
      </c>
      <c r="F599" s="14" t="n">
        <v>2024.1</v>
      </c>
      <c r="G599" s="9">
        <f>F599-F598</f>
        <v/>
      </c>
      <c r="H599" s="10">
        <f>IF(F598=0,0,G599/F598)</f>
        <v/>
      </c>
      <c r="I599" s="8">
        <f>D599-E599</f>
        <v/>
      </c>
      <c r="J599" s="4">
        <f>IF(F599&gt;C599,"Up",IF(F599&lt;C599,"Down","Flat"))</f>
        <v/>
      </c>
      <c r="K599" s="14" t="n">
        <v>23.37</v>
      </c>
      <c r="L599" s="15" t="n">
        <v>47.09</v>
      </c>
      <c r="M599" s="14" t="n">
        <v>2031.09</v>
      </c>
      <c r="N599" s="14" t="n">
        <v>2027.78</v>
      </c>
      <c r="O599" s="14" t="n">
        <v>1978.26</v>
      </c>
      <c r="P599" s="4">
        <f>IF(O599="","",IF(F599&gt;O599,"Above","Below"))</f>
        <v/>
      </c>
      <c r="Q599" s="16" t="n">
        <v>162356</v>
      </c>
      <c r="R599" s="17" t="n">
        <v>0</v>
      </c>
      <c r="S599" s="17" t="n">
        <v>0</v>
      </c>
      <c r="T599" s="17" t="n">
        <v>0</v>
      </c>
      <c r="U599" s="18" t="n">
        <v>0</v>
      </c>
    </row>
    <row r="600">
      <c r="A600" s="13" t="n">
        <v>45342</v>
      </c>
      <c r="B600" s="4">
        <f>TEXT(A600,"ddd")</f>
        <v/>
      </c>
      <c r="C600" s="14" t="n">
        <v>2027.7</v>
      </c>
      <c r="D600" s="14" t="n">
        <v>2042.7</v>
      </c>
      <c r="E600" s="14" t="n">
        <v>2023.9</v>
      </c>
      <c r="F600" s="14" t="n">
        <v>2039.8</v>
      </c>
      <c r="G600" s="9">
        <f>F600-F599</f>
        <v/>
      </c>
      <c r="H600" s="10">
        <f>IF(F599=0,0,G600/F599)</f>
        <v/>
      </c>
      <c r="I600" s="8">
        <f>D600-E600</f>
        <v/>
      </c>
      <c r="J600" s="4">
        <f>IF(F600&gt;C600,"Up",IF(F600&lt;C600,"Down","Flat"))</f>
        <v/>
      </c>
      <c r="K600" s="14" t="n">
        <v>23.04</v>
      </c>
      <c r="L600" s="15" t="n">
        <v>52.6</v>
      </c>
      <c r="M600" s="14" t="n">
        <v>2031.92</v>
      </c>
      <c r="N600" s="14" t="n">
        <v>2028.26</v>
      </c>
      <c r="O600" s="14" t="n">
        <v>1978.87</v>
      </c>
      <c r="P600" s="4">
        <f>IF(O600="","",IF(F600&gt;O600,"Above","Below"))</f>
        <v/>
      </c>
      <c r="Q600" s="16" t="n">
        <v>202432</v>
      </c>
      <c r="R600" s="17" t="n">
        <v>0</v>
      </c>
      <c r="S600" s="17" t="n">
        <v>0</v>
      </c>
      <c r="T600" s="17" t="n">
        <v>0</v>
      </c>
      <c r="U600" s="18" t="n">
        <v>0</v>
      </c>
    </row>
    <row r="601">
      <c r="A601" s="13" t="n">
        <v>45343</v>
      </c>
      <c r="B601" s="4">
        <f>TEXT(A601,"ddd")</f>
        <v/>
      </c>
      <c r="C601" s="14" t="n">
        <v>2036.2</v>
      </c>
      <c r="D601" s="14" t="n">
        <v>2043.5</v>
      </c>
      <c r="E601" s="14" t="n">
        <v>2030.9</v>
      </c>
      <c r="F601" s="14" t="n">
        <v>2034.3</v>
      </c>
      <c r="G601" s="9">
        <f>F601-F600</f>
        <v/>
      </c>
      <c r="H601" s="10">
        <f>IF(F600=0,0,G601/F600)</f>
        <v/>
      </c>
      <c r="I601" s="8">
        <f>D601-E601</f>
        <v/>
      </c>
      <c r="J601" s="4">
        <f>IF(F601&gt;C601,"Up",IF(F601&lt;C601,"Down","Flat"))</f>
        <v/>
      </c>
      <c r="K601" s="14" t="n">
        <v>22.3</v>
      </c>
      <c r="L601" s="15" t="n">
        <v>50.61</v>
      </c>
      <c r="M601" s="14" t="n">
        <v>2032.15</v>
      </c>
      <c r="N601" s="14" t="n">
        <v>2028.49</v>
      </c>
      <c r="O601" s="14" t="n">
        <v>1979.42</v>
      </c>
      <c r="P601" s="4">
        <f>IF(O601="","",IF(F601&gt;O601,"Above","Below"))</f>
        <v/>
      </c>
      <c r="Q601" s="16" t="n">
        <v>120599</v>
      </c>
      <c r="R601" s="17" t="n">
        <v>0</v>
      </c>
      <c r="S601" s="17" t="n">
        <v>0</v>
      </c>
      <c r="T601" s="17" t="n">
        <v>0</v>
      </c>
      <c r="U601" s="18" t="n">
        <v>0</v>
      </c>
    </row>
    <row r="602">
      <c r="A602" s="13" t="n">
        <v>45344</v>
      </c>
      <c r="B602" s="4">
        <f>TEXT(A602,"ddd")</f>
        <v/>
      </c>
      <c r="C602" s="14" t="n">
        <v>2036.5</v>
      </c>
      <c r="D602" s="14" t="n">
        <v>2045.5</v>
      </c>
      <c r="E602" s="14" t="n">
        <v>2029.3</v>
      </c>
      <c r="F602" s="14" t="n">
        <v>2030.7</v>
      </c>
      <c r="G602" s="9">
        <f>F602-F601</f>
        <v/>
      </c>
      <c r="H602" s="10">
        <f>IF(F601=0,0,G602/F601)</f>
        <v/>
      </c>
      <c r="I602" s="8">
        <f>D602-E602</f>
        <v/>
      </c>
      <c r="J602" s="4">
        <f>IF(F602&gt;C602,"Up",IF(F602&lt;C602,"Down","Flat"))</f>
        <v/>
      </c>
      <c r="K602" s="14" t="n">
        <v>21.86</v>
      </c>
      <c r="L602" s="15" t="n">
        <v>49.3</v>
      </c>
      <c r="M602" s="14" t="n">
        <v>2032.01</v>
      </c>
      <c r="N602" s="14" t="n">
        <v>2028.58</v>
      </c>
      <c r="O602" s="14" t="n">
        <v>1979.93</v>
      </c>
      <c r="P602" s="4">
        <f>IF(O602="","",IF(F602&gt;O602,"Above","Below"))</f>
        <v/>
      </c>
      <c r="Q602" s="16" t="n">
        <v>147947</v>
      </c>
      <c r="R602" s="17" t="n">
        <v>0</v>
      </c>
      <c r="S602" s="17" t="n">
        <v>0</v>
      </c>
      <c r="T602" s="17" t="n">
        <v>0</v>
      </c>
      <c r="U602" s="18" t="n">
        <v>0</v>
      </c>
    </row>
    <row r="603">
      <c r="A603" s="13" t="n">
        <v>45345</v>
      </c>
      <c r="B603" s="4">
        <f>TEXT(A603,"ddd")</f>
        <v/>
      </c>
      <c r="C603" s="14" t="n">
        <v>2034.1</v>
      </c>
      <c r="D603" s="14" t="n">
        <v>2053.2</v>
      </c>
      <c r="E603" s="14" t="n">
        <v>2025.4</v>
      </c>
      <c r="F603" s="14" t="n">
        <v>2049.4</v>
      </c>
      <c r="G603" s="9">
        <f>F603-F602</f>
        <v/>
      </c>
      <c r="H603" s="10">
        <f>IF(F602=0,0,G603/F602)</f>
        <v/>
      </c>
      <c r="I603" s="8">
        <f>D603-E603</f>
        <v/>
      </c>
      <c r="J603" s="4">
        <f>IF(F603&gt;C603,"Up",IF(F603&lt;C603,"Down","Flat"))</f>
        <v/>
      </c>
      <c r="K603" s="14" t="n">
        <v>22.29</v>
      </c>
      <c r="L603" s="15" t="n">
        <v>55.72</v>
      </c>
      <c r="M603" s="14" t="n">
        <v>2033.66</v>
      </c>
      <c r="N603" s="14" t="n">
        <v>2029.4</v>
      </c>
      <c r="O603" s="14" t="n">
        <v>1980.63</v>
      </c>
      <c r="P603" s="4">
        <f>IF(O603="","",IF(F603&gt;O603,"Above","Below"))</f>
        <v/>
      </c>
      <c r="Q603" s="16" t="n">
        <v>212029</v>
      </c>
      <c r="R603" s="17" t="n">
        <v>0</v>
      </c>
      <c r="S603" s="17" t="n">
        <v>0</v>
      </c>
      <c r="T603" s="17" t="n">
        <v>0</v>
      </c>
      <c r="U603" s="18" t="n">
        <v>0</v>
      </c>
    </row>
    <row r="604">
      <c r="A604" s="13" t="n">
        <v>45348</v>
      </c>
      <c r="B604" s="4">
        <f>TEXT(A604,"ddd")</f>
        <v/>
      </c>
      <c r="C604" s="14" t="n">
        <v>2044.2</v>
      </c>
      <c r="D604" s="14" t="n">
        <v>2046.8</v>
      </c>
      <c r="E604" s="14" t="n">
        <v>2034.1</v>
      </c>
      <c r="F604" s="14" t="n">
        <v>2038.9</v>
      </c>
      <c r="G604" s="9">
        <f>F604-F603</f>
        <v/>
      </c>
      <c r="H604" s="10">
        <f>IF(F603=0,0,G604/F603)</f>
        <v/>
      </c>
      <c r="I604" s="8">
        <f>D604-E604</f>
        <v/>
      </c>
      <c r="J604" s="4">
        <f>IF(F604&gt;C604,"Up",IF(F604&lt;C604,"Down","Flat"))</f>
        <v/>
      </c>
      <c r="K604" s="14" t="n">
        <v>21.79</v>
      </c>
      <c r="L604" s="15" t="n">
        <v>51.76</v>
      </c>
      <c r="M604" s="14" t="n">
        <v>2034.16</v>
      </c>
      <c r="N604" s="14" t="n">
        <v>2029.77</v>
      </c>
      <c r="O604" s="14" t="n">
        <v>1981.21</v>
      </c>
      <c r="P604" s="4">
        <f>IF(O604="","",IF(F604&gt;O604,"Above","Below"))</f>
        <v/>
      </c>
      <c r="Q604" s="16" t="n">
        <v>129021</v>
      </c>
      <c r="R604" s="17" t="n">
        <v>0</v>
      </c>
      <c r="S604" s="17" t="n">
        <v>0</v>
      </c>
      <c r="T604" s="17" t="n">
        <v>0</v>
      </c>
      <c r="U604" s="18" t="n">
        <v>0</v>
      </c>
    </row>
    <row r="605">
      <c r="A605" s="13" t="n">
        <v>45349</v>
      </c>
      <c r="B605" s="4">
        <f>TEXT(A605,"ddd")</f>
        <v/>
      </c>
      <c r="C605" s="14" t="n">
        <v>2041.2</v>
      </c>
      <c r="D605" s="14" t="n">
        <v>2049.1</v>
      </c>
      <c r="E605" s="14" t="n">
        <v>2038.1</v>
      </c>
      <c r="F605" s="14" t="n">
        <v>2044.1</v>
      </c>
      <c r="G605" s="9">
        <f>F605-F604</f>
        <v/>
      </c>
      <c r="H605" s="10">
        <f>IF(F604=0,0,G605/F604)</f>
        <v/>
      </c>
      <c r="I605" s="8">
        <f>D605-E605</f>
        <v/>
      </c>
      <c r="J605" s="4">
        <f>IF(F605&gt;C605,"Up",IF(F605&lt;C605,"Down","Flat"))</f>
        <v/>
      </c>
      <c r="K605" s="14" t="n">
        <v>21.02</v>
      </c>
      <c r="L605" s="15" t="n">
        <v>53.52</v>
      </c>
      <c r="M605" s="14" t="n">
        <v>2035.11</v>
      </c>
      <c r="N605" s="14" t="n">
        <v>2030.33</v>
      </c>
      <c r="O605" s="14" t="n">
        <v>1981.83</v>
      </c>
      <c r="P605" s="4">
        <f>IF(O605="","",IF(F605&gt;O605,"Above","Below"))</f>
        <v/>
      </c>
      <c r="Q605" s="16" t="n">
        <v>148780</v>
      </c>
      <c r="R605" s="17" t="n">
        <v>0</v>
      </c>
      <c r="S605" s="17" t="n">
        <v>0</v>
      </c>
      <c r="T605" s="17" t="n">
        <v>0</v>
      </c>
      <c r="U605" s="18" t="n">
        <v>0</v>
      </c>
    </row>
    <row r="606">
      <c r="A606" s="13" t="n">
        <v>45350</v>
      </c>
      <c r="B606" s="4">
        <f>TEXT(A606,"ddd")</f>
        <v/>
      </c>
      <c r="C606" s="14" t="n">
        <v>2039.7</v>
      </c>
      <c r="D606" s="14" t="n">
        <v>2047.4</v>
      </c>
      <c r="E606" s="14" t="n">
        <v>2033.4</v>
      </c>
      <c r="F606" s="14" t="n">
        <v>2042.7</v>
      </c>
      <c r="G606" s="9">
        <f>F606-F605</f>
        <v/>
      </c>
      <c r="H606" s="10">
        <f>IF(F605=0,0,G606/F605)</f>
        <v/>
      </c>
      <c r="I606" s="8">
        <f>D606-E606</f>
        <v/>
      </c>
      <c r="J606" s="4">
        <f>IF(F606&gt;C606,"Up",IF(F606&lt;C606,"Down","Flat"))</f>
        <v/>
      </c>
      <c r="K606" s="14" t="n">
        <v>20.52</v>
      </c>
      <c r="L606" s="15" t="n">
        <v>52.96</v>
      </c>
      <c r="M606" s="14" t="n">
        <v>2035.83</v>
      </c>
      <c r="N606" s="14" t="n">
        <v>2030.82</v>
      </c>
      <c r="O606" s="14" t="n">
        <v>1982.44</v>
      </c>
      <c r="P606" s="4">
        <f>IF(O606="","",IF(F606&gt;O606,"Above","Below"))</f>
        <v/>
      </c>
      <c r="Q606" s="16" t="n">
        <v>137077</v>
      </c>
      <c r="R606" s="17" t="n">
        <v>0</v>
      </c>
      <c r="S606" s="17" t="n">
        <v>0</v>
      </c>
      <c r="T606" s="17" t="n">
        <v>0</v>
      </c>
      <c r="U606" s="18" t="n">
        <v>0</v>
      </c>
    </row>
    <row r="607">
      <c r="A607" s="13" t="n">
        <v>45351</v>
      </c>
      <c r="B607" s="4">
        <f>TEXT(A607,"ddd")</f>
        <v/>
      </c>
      <c r="C607" s="14" t="n">
        <v>2043.8</v>
      </c>
      <c r="D607" s="14" t="n">
        <v>2059.4</v>
      </c>
      <c r="E607" s="14" t="n">
        <v>2036</v>
      </c>
      <c r="F607" s="14" t="n">
        <v>2054.7</v>
      </c>
      <c r="G607" s="9">
        <f>F607-F606</f>
        <v/>
      </c>
      <c r="H607" s="10">
        <f>IF(F606=0,0,G607/F606)</f>
        <v/>
      </c>
      <c r="I607" s="8">
        <f>D607-E607</f>
        <v/>
      </c>
      <c r="J607" s="4">
        <f>IF(F607&gt;C607,"Up",IF(F607&lt;C607,"Down","Flat"))</f>
        <v/>
      </c>
      <c r="K607" s="14" t="n">
        <v>20.72</v>
      </c>
      <c r="L607" s="15" t="n">
        <v>57.11</v>
      </c>
      <c r="M607" s="14" t="n">
        <v>2037.63</v>
      </c>
      <c r="N607" s="14" t="n">
        <v>2031.75</v>
      </c>
      <c r="O607" s="14" t="n">
        <v>1983.16</v>
      </c>
      <c r="P607" s="4">
        <f>IF(O607="","",IF(F607&gt;O607,"Above","Below"))</f>
        <v/>
      </c>
      <c r="Q607" s="16" t="n">
        <v>227074</v>
      </c>
      <c r="R607" s="17" t="n">
        <v>0</v>
      </c>
      <c r="S607" s="17" t="n">
        <v>0</v>
      </c>
      <c r="T607" s="17" t="n">
        <v>0</v>
      </c>
      <c r="U607" s="18" t="n">
        <v>0</v>
      </c>
    </row>
    <row r="608">
      <c r="A608" s="13" t="n">
        <v>45352</v>
      </c>
      <c r="B608" s="4">
        <f>TEXT(A608,"ddd")</f>
        <v/>
      </c>
      <c r="C608" s="14" t="n">
        <v>2052.8</v>
      </c>
      <c r="D608" s="14" t="n">
        <v>2097.1</v>
      </c>
      <c r="E608" s="14" t="n">
        <v>2047</v>
      </c>
      <c r="F608" s="14" t="n">
        <v>2095.7</v>
      </c>
      <c r="G608" s="9">
        <f>F608-F607</f>
        <v/>
      </c>
      <c r="H608" s="10">
        <f>IF(F607=0,0,G608/F607)</f>
        <v/>
      </c>
      <c r="I608" s="8">
        <f>D608-E608</f>
        <v/>
      </c>
      <c r="J608" s="4">
        <f>IF(F608&gt;C608,"Up",IF(F608&lt;C608,"Down","Flat"))</f>
        <v/>
      </c>
      <c r="K608" s="14" t="n">
        <v>22.82</v>
      </c>
      <c r="L608" s="15" t="n">
        <v>67.63</v>
      </c>
      <c r="M608" s="14" t="n">
        <v>2043.16</v>
      </c>
      <c r="N608" s="14" t="n">
        <v>2034.26</v>
      </c>
      <c r="O608" s="14" t="n">
        <v>1984.28</v>
      </c>
      <c r="P608" s="4">
        <f>IF(O608="","",IF(F608&gt;O608,"Above","Below"))</f>
        <v/>
      </c>
      <c r="Q608" s="16" t="n">
        <v>330592</v>
      </c>
      <c r="R608" s="17" t="n">
        <v>0</v>
      </c>
      <c r="S608" s="17" t="n">
        <v>0</v>
      </c>
      <c r="T608" s="17" t="n">
        <v>0</v>
      </c>
      <c r="U608" s="18" t="n">
        <v>0</v>
      </c>
    </row>
    <row r="609">
      <c r="A609" s="13" t="n">
        <v>45355</v>
      </c>
      <c r="B609" s="4">
        <f>TEXT(A609,"ddd")</f>
        <v/>
      </c>
      <c r="C609" s="14" t="n">
        <v>2091.6</v>
      </c>
      <c r="D609" s="14" t="n">
        <v>2128.4</v>
      </c>
      <c r="E609" s="14" t="n">
        <v>2088.1</v>
      </c>
      <c r="F609" s="14" t="n">
        <v>2126.3</v>
      </c>
      <c r="G609" s="9">
        <f>F609-F608</f>
        <v/>
      </c>
      <c r="H609" s="10">
        <f>IF(F608=0,0,G609/F608)</f>
        <v/>
      </c>
      <c r="I609" s="8">
        <f>D609-E609</f>
        <v/>
      </c>
      <c r="J609" s="4">
        <f>IF(F609&gt;C609,"Up",IF(F609&lt;C609,"Down","Flat"))</f>
        <v/>
      </c>
      <c r="K609" s="14" t="n">
        <v>24.07</v>
      </c>
      <c r="L609" s="15" t="n">
        <v>72.95999999999999</v>
      </c>
      <c r="M609" s="14" t="n">
        <v>2051.08</v>
      </c>
      <c r="N609" s="14" t="n">
        <v>2037.87</v>
      </c>
      <c r="O609" s="14" t="n">
        <v>1985.69</v>
      </c>
      <c r="P609" s="4">
        <f>IF(O609="","",IF(F609&gt;O609,"Above","Below"))</f>
        <v/>
      </c>
      <c r="Q609" s="16" t="n">
        <v>328253</v>
      </c>
      <c r="R609" s="17" t="n">
        <v>0</v>
      </c>
      <c r="S609" s="17" t="n">
        <v>0</v>
      </c>
      <c r="T609" s="17" t="n">
        <v>0</v>
      </c>
      <c r="U609" s="18" t="n">
        <v>0</v>
      </c>
    </row>
    <row r="610">
      <c r="A610" s="13" t="n">
        <v>45356</v>
      </c>
      <c r="B610" s="4">
        <f>TEXT(A610,"ddd")</f>
        <v/>
      </c>
      <c r="C610" s="14" t="n">
        <v>2123.3</v>
      </c>
      <c r="D610" s="14" t="n">
        <v>2150.5</v>
      </c>
      <c r="E610" s="14" t="n">
        <v>2118.5</v>
      </c>
      <c r="F610" s="14" t="n">
        <v>2141.9</v>
      </c>
      <c r="G610" s="9">
        <f>F610-F609</f>
        <v/>
      </c>
      <c r="H610" s="10">
        <f>IF(F609=0,0,G610/F609)</f>
        <v/>
      </c>
      <c r="I610" s="8">
        <f>D610-E610</f>
        <v/>
      </c>
      <c r="J610" s="4">
        <f>IF(F610&gt;C610,"Up",IF(F610&lt;C610,"Down","Flat"))</f>
        <v/>
      </c>
      <c r="K610" s="14" t="n">
        <v>24.64</v>
      </c>
      <c r="L610" s="15" t="n">
        <v>75.2</v>
      </c>
      <c r="M610" s="14" t="n">
        <v>2059.73</v>
      </c>
      <c r="N610" s="14" t="n">
        <v>2041.95</v>
      </c>
      <c r="O610" s="14" t="n">
        <v>1987.24</v>
      </c>
      <c r="P610" s="4">
        <f>IF(O610="","",IF(F610&gt;O610,"Above","Below"))</f>
        <v/>
      </c>
      <c r="Q610" s="16" t="n">
        <v>283148</v>
      </c>
      <c r="R610" s="17" t="n">
        <v>0</v>
      </c>
      <c r="S610" s="17" t="n">
        <v>0</v>
      </c>
      <c r="T610" s="17" t="n">
        <v>0</v>
      </c>
      <c r="U610" s="18" t="n">
        <v>0</v>
      </c>
    </row>
    <row r="611">
      <c r="A611" s="13" t="n">
        <v>45357</v>
      </c>
      <c r="B611" s="4">
        <f>TEXT(A611,"ddd")</f>
        <v/>
      </c>
      <c r="C611" s="14" t="n">
        <v>2136.4</v>
      </c>
      <c r="D611" s="14" t="n">
        <v>2160.7</v>
      </c>
      <c r="E611" s="14" t="n">
        <v>2131.9</v>
      </c>
      <c r="F611" s="14" t="n">
        <v>2158.2</v>
      </c>
      <c r="G611" s="9">
        <f>F611-F610</f>
        <v/>
      </c>
      <c r="H611" s="10">
        <f>IF(F610=0,0,G611/F610)</f>
        <v/>
      </c>
      <c r="I611" s="8">
        <f>D611-E611</f>
        <v/>
      </c>
      <c r="J611" s="4">
        <f>IF(F611&gt;C611,"Up",IF(F611&lt;C611,"Down","Flat"))</f>
        <v/>
      </c>
      <c r="K611" s="14" t="n">
        <v>24.93</v>
      </c>
      <c r="L611" s="15" t="n">
        <v>77.31999999999999</v>
      </c>
      <c r="M611" s="14" t="n">
        <v>2069.11</v>
      </c>
      <c r="N611" s="14" t="n">
        <v>2046.51</v>
      </c>
      <c r="O611" s="14" t="n">
        <v>1988.94</v>
      </c>
      <c r="P611" s="4">
        <f>IF(O611="","",IF(F611&gt;O611,"Above","Below"))</f>
        <v/>
      </c>
      <c r="Q611" s="16" t="n">
        <v>319763</v>
      </c>
      <c r="R611" s="17" t="n">
        <v>0</v>
      </c>
      <c r="S611" s="17" t="n">
        <v>0</v>
      </c>
      <c r="T611" s="17" t="n">
        <v>0</v>
      </c>
      <c r="U611" s="18" t="n">
        <v>0</v>
      </c>
    </row>
    <row r="612">
      <c r="A612" s="13" t="n">
        <v>45358</v>
      </c>
      <c r="B612" s="4">
        <f>TEXT(A612,"ddd")</f>
        <v/>
      </c>
      <c r="C612" s="14" t="n">
        <v>2156.7</v>
      </c>
      <c r="D612" s="14" t="n">
        <v>2172.2</v>
      </c>
      <c r="E612" s="14" t="n">
        <v>2151.7</v>
      </c>
      <c r="F612" s="14" t="n">
        <v>2165.2</v>
      </c>
      <c r="G612" s="9">
        <f>F612-F611</f>
        <v/>
      </c>
      <c r="H612" s="10">
        <f>IF(F611=0,0,G612/F611)</f>
        <v/>
      </c>
      <c r="I612" s="8">
        <f>D612-E612</f>
        <v/>
      </c>
      <c r="J612" s="4">
        <f>IF(F612&gt;C612,"Up",IF(F612&lt;C612,"Down","Flat"))</f>
        <v/>
      </c>
      <c r="K612" s="14" t="n">
        <v>24.62</v>
      </c>
      <c r="L612" s="15" t="n">
        <v>78.18000000000001</v>
      </c>
      <c r="M612" s="14" t="n">
        <v>2078.26</v>
      </c>
      <c r="N612" s="14" t="n">
        <v>2051.16</v>
      </c>
      <c r="O612" s="14" t="n">
        <v>1990.7</v>
      </c>
      <c r="P612" s="4">
        <f>IF(O612="","",IF(F612&gt;O612,"Above","Below"))</f>
        <v/>
      </c>
      <c r="Q612" s="16" t="n">
        <v>267795</v>
      </c>
      <c r="R612" s="17" t="n">
        <v>0</v>
      </c>
      <c r="S612" s="17" t="n">
        <v>0</v>
      </c>
      <c r="T612" s="17" t="n">
        <v>0</v>
      </c>
      <c r="U612" s="18" t="n">
        <v>0</v>
      </c>
    </row>
    <row r="613">
      <c r="A613" s="13" t="n">
        <v>45359</v>
      </c>
      <c r="B613" s="4">
        <f>TEXT(A613,"ddd")</f>
        <v/>
      </c>
      <c r="C613" s="14" t="n">
        <v>2166.6</v>
      </c>
      <c r="D613" s="14" t="n">
        <v>2203</v>
      </c>
      <c r="E613" s="14" t="n">
        <v>2161.2</v>
      </c>
      <c r="F613" s="14" t="n">
        <v>2185.5</v>
      </c>
      <c r="G613" s="9">
        <f>F613-F612</f>
        <v/>
      </c>
      <c r="H613" s="10">
        <f>IF(F612=0,0,G613/F612)</f>
        <v/>
      </c>
      <c r="I613" s="8">
        <f>D613-E613</f>
        <v/>
      </c>
      <c r="J613" s="4">
        <f>IF(F613&gt;C613,"Up",IF(F613&lt;C613,"Down","Flat"))</f>
        <v/>
      </c>
      <c r="K613" s="14" t="n">
        <v>25.84</v>
      </c>
      <c r="L613" s="15" t="n">
        <v>80.48999999999999</v>
      </c>
      <c r="M613" s="14" t="n">
        <v>2088.47</v>
      </c>
      <c r="N613" s="14" t="n">
        <v>2056.43</v>
      </c>
      <c r="O613" s="14" t="n">
        <v>1992.64</v>
      </c>
      <c r="P613" s="4">
        <f>IF(O613="","",IF(F613&gt;O613,"Above","Below"))</f>
        <v/>
      </c>
      <c r="Q613" s="16" t="n">
        <v>389682</v>
      </c>
      <c r="R613" s="17" t="n">
        <v>0</v>
      </c>
      <c r="S613" s="17" t="n">
        <v>0</v>
      </c>
      <c r="T613" s="17" t="n">
        <v>0</v>
      </c>
      <c r="U613" s="18" t="n">
        <v>0</v>
      </c>
    </row>
    <row r="614">
      <c r="A614" s="13" t="n">
        <v>45362</v>
      </c>
      <c r="B614" s="4">
        <f>TEXT(A614,"ddd")</f>
        <v/>
      </c>
      <c r="C614" s="14" t="n">
        <v>2187.6</v>
      </c>
      <c r="D614" s="14" t="n">
        <v>2195.5</v>
      </c>
      <c r="E614" s="14" t="n">
        <v>2180.9</v>
      </c>
      <c r="F614" s="14" t="n">
        <v>2188.6</v>
      </c>
      <c r="G614" s="9">
        <f>F614-F613</f>
        <v/>
      </c>
      <c r="H614" s="10">
        <f>IF(F613=0,0,G614/F613)</f>
        <v/>
      </c>
      <c r="I614" s="8">
        <f>D614-E614</f>
        <v/>
      </c>
      <c r="J614" s="4">
        <f>IF(F614&gt;C614,"Up",IF(F614&lt;C614,"Down","Flat"))</f>
        <v/>
      </c>
      <c r="K614" s="14" t="n">
        <v>25.04</v>
      </c>
      <c r="L614" s="15" t="n">
        <v>80.81999999999999</v>
      </c>
      <c r="M614" s="14" t="n">
        <v>2098.01</v>
      </c>
      <c r="N614" s="14" t="n">
        <v>2061.61</v>
      </c>
      <c r="O614" s="14" t="n">
        <v>1994.59</v>
      </c>
      <c r="P614" s="4">
        <f>IF(O614="","",IF(F614&gt;O614,"Above","Below"))</f>
        <v/>
      </c>
      <c r="Q614" s="16" t="n">
        <v>242418</v>
      </c>
      <c r="R614" s="17" t="n">
        <v>0</v>
      </c>
      <c r="S614" s="17" t="n">
        <v>0</v>
      </c>
      <c r="T614" s="17" t="n">
        <v>0</v>
      </c>
      <c r="U614" s="18" t="n">
        <v>0</v>
      </c>
    </row>
    <row r="615">
      <c r="A615" s="13" t="n">
        <v>45363</v>
      </c>
      <c r="B615" s="4">
        <f>TEXT(A615,"ddd")</f>
        <v/>
      </c>
      <c r="C615" s="14" t="n">
        <v>2189.1</v>
      </c>
      <c r="D615" s="14" t="n">
        <v>2190.8</v>
      </c>
      <c r="E615" s="14" t="n">
        <v>2156.2</v>
      </c>
      <c r="F615" s="14" t="n">
        <v>2166.1</v>
      </c>
      <c r="G615" s="9">
        <f>F615-F614</f>
        <v/>
      </c>
      <c r="H615" s="10">
        <f>IF(F614=0,0,G615/F614)</f>
        <v/>
      </c>
      <c r="I615" s="8">
        <f>D615-E615</f>
        <v/>
      </c>
      <c r="J615" s="4">
        <f>IF(F615&gt;C615,"Up",IF(F615&lt;C615,"Down","Flat"))</f>
        <v/>
      </c>
      <c r="K615" s="14" t="n">
        <v>25.72</v>
      </c>
      <c r="L615" s="15" t="n">
        <v>71.28</v>
      </c>
      <c r="M615" s="14" t="n">
        <v>2104.49</v>
      </c>
      <c r="N615" s="14" t="n">
        <v>2065.71</v>
      </c>
      <c r="O615" s="14" t="n">
        <v>1996.29</v>
      </c>
      <c r="P615" s="4">
        <f>IF(O615="","",IF(F615&gt;O615,"Above","Below"))</f>
        <v/>
      </c>
      <c r="Q615" s="16" t="n">
        <v>316254</v>
      </c>
      <c r="R615" s="17" t="n">
        <v>0</v>
      </c>
      <c r="S615" s="17" t="n">
        <v>0</v>
      </c>
      <c r="T615" s="17" t="n">
        <v>0</v>
      </c>
      <c r="U615" s="18" t="n">
        <v>0</v>
      </c>
    </row>
    <row r="616">
      <c r="A616" s="13" t="n">
        <v>45364</v>
      </c>
      <c r="B616" s="4">
        <f>TEXT(A616,"ddd")</f>
        <v/>
      </c>
      <c r="C616" s="14" t="n">
        <v>2163.6</v>
      </c>
      <c r="D616" s="14" t="n">
        <v>2185.6</v>
      </c>
      <c r="E616" s="14" t="n">
        <v>2161.3</v>
      </c>
      <c r="F616" s="14" t="n">
        <v>2180.8</v>
      </c>
      <c r="G616" s="9">
        <f>F616-F615</f>
        <v/>
      </c>
      <c r="H616" s="10">
        <f>IF(F615=0,0,G616/F615)</f>
        <v/>
      </c>
      <c r="I616" s="8">
        <f>D616-E616</f>
        <v/>
      </c>
      <c r="J616" s="4">
        <f>IF(F616&gt;C616,"Up",IF(F616&lt;C616,"Down","Flat"))</f>
        <v/>
      </c>
      <c r="K616" s="14" t="n">
        <v>25.62</v>
      </c>
      <c r="L616" s="15" t="n">
        <v>73.48</v>
      </c>
      <c r="M616" s="14" t="n">
        <v>2111.76</v>
      </c>
      <c r="N616" s="14" t="n">
        <v>2070.22</v>
      </c>
      <c r="O616" s="14" t="n">
        <v>1998.13</v>
      </c>
      <c r="P616" s="4">
        <f>IF(O616="","",IF(F616&gt;O616,"Above","Below"))</f>
        <v/>
      </c>
      <c r="Q616" s="16" t="n">
        <v>232273</v>
      </c>
      <c r="R616" s="17" t="n">
        <v>0</v>
      </c>
      <c r="S616" s="17" t="n">
        <v>0</v>
      </c>
      <c r="T616" s="17" t="n">
        <v>0</v>
      </c>
      <c r="U616" s="18" t="n">
        <v>0</v>
      </c>
    </row>
    <row r="617">
      <c r="A617" s="13" t="n">
        <v>45365</v>
      </c>
      <c r="B617" s="4">
        <f>TEXT(A617,"ddd")</f>
        <v/>
      </c>
      <c r="C617" s="14" t="n">
        <v>2179.5</v>
      </c>
      <c r="D617" s="14" t="n">
        <v>2181.3</v>
      </c>
      <c r="E617" s="14" t="n">
        <v>2157</v>
      </c>
      <c r="F617" s="14" t="n">
        <v>2167.5</v>
      </c>
      <c r="G617" s="9">
        <f>F617-F616</f>
        <v/>
      </c>
      <c r="H617" s="10">
        <f>IF(F616=0,0,G617/F616)</f>
        <v/>
      </c>
      <c r="I617" s="8">
        <f>D617-E617</f>
        <v/>
      </c>
      <c r="J617" s="4">
        <f>IF(F617&gt;C617,"Up",IF(F617&lt;C617,"Down","Flat"))</f>
        <v/>
      </c>
      <c r="K617" s="14" t="n">
        <v>25.53</v>
      </c>
      <c r="L617" s="15" t="n">
        <v>68.37</v>
      </c>
      <c r="M617" s="14" t="n">
        <v>2117.07</v>
      </c>
      <c r="N617" s="14" t="n">
        <v>2074.04</v>
      </c>
      <c r="O617" s="14" t="n">
        <v>1999.81</v>
      </c>
      <c r="P617" s="4">
        <f>IF(O617="","",IF(F617&gt;O617,"Above","Below"))</f>
        <v/>
      </c>
      <c r="Q617" s="16" t="n">
        <v>207225</v>
      </c>
      <c r="R617" s="17" t="n">
        <v>0</v>
      </c>
      <c r="S617" s="17" t="n">
        <v>0</v>
      </c>
      <c r="T617" s="17" t="n">
        <v>0</v>
      </c>
      <c r="U617" s="18" t="n">
        <v>0</v>
      </c>
    </row>
    <row r="618">
      <c r="A618" s="13" t="n">
        <v>45366</v>
      </c>
      <c r="B618" s="4">
        <f>TEXT(A618,"ddd")</f>
        <v/>
      </c>
      <c r="C618" s="14" t="n">
        <v>2166.2</v>
      </c>
      <c r="D618" s="14" t="n">
        <v>2176.9</v>
      </c>
      <c r="E618" s="14" t="n">
        <v>2158.7</v>
      </c>
      <c r="F618" s="14" t="n">
        <v>2161.5</v>
      </c>
      <c r="G618" s="9">
        <f>F618-F617</f>
        <v/>
      </c>
      <c r="H618" s="10">
        <f>IF(F617=0,0,G618/F617)</f>
        <v/>
      </c>
      <c r="I618" s="8">
        <f>D618-E618</f>
        <v/>
      </c>
      <c r="J618" s="4">
        <f>IF(F618&gt;C618,"Up",IF(F618&lt;C618,"Down","Flat"))</f>
        <v/>
      </c>
      <c r="K618" s="14" t="n">
        <v>25</v>
      </c>
      <c r="L618" s="15" t="n">
        <v>66.14</v>
      </c>
      <c r="M618" s="14" t="n">
        <v>2121.3</v>
      </c>
      <c r="N618" s="14" t="n">
        <v>2077.47</v>
      </c>
      <c r="O618" s="14" t="n">
        <v>2001.42</v>
      </c>
      <c r="P618" s="4">
        <f>IF(O618="","",IF(F618&gt;O618,"Above","Below"))</f>
        <v/>
      </c>
      <c r="Q618" s="16" t="n">
        <v>187847</v>
      </c>
      <c r="R618" s="17" t="n">
        <v>0</v>
      </c>
      <c r="S618" s="17" t="n">
        <v>0</v>
      </c>
      <c r="T618" s="17" t="n">
        <v>0</v>
      </c>
      <c r="U618" s="18" t="n">
        <v>0</v>
      </c>
    </row>
    <row r="619">
      <c r="A619" s="13" t="n">
        <v>45369</v>
      </c>
      <c r="B619" s="4">
        <f>TEXT(A619,"ddd")</f>
        <v/>
      </c>
      <c r="C619" s="14" t="n">
        <v>2159.9</v>
      </c>
      <c r="D619" s="14" t="n">
        <v>2167.2</v>
      </c>
      <c r="E619" s="14" t="n">
        <v>2149.2</v>
      </c>
      <c r="F619" s="14" t="n">
        <v>2164.3</v>
      </c>
      <c r="G619" s="9">
        <f>F619-F618</f>
        <v/>
      </c>
      <c r="H619" s="10">
        <f>IF(F618=0,0,G619/F618)</f>
        <v/>
      </c>
      <c r="I619" s="8">
        <f>D619-E619</f>
        <v/>
      </c>
      <c r="J619" s="4">
        <f>IF(F619&gt;C619,"Up",IF(F619&lt;C619,"Down","Flat"))</f>
        <v/>
      </c>
      <c r="K619" s="14" t="n">
        <v>24.5</v>
      </c>
      <c r="L619" s="15" t="n">
        <v>66.68000000000001</v>
      </c>
      <c r="M619" s="14" t="n">
        <v>2125.4</v>
      </c>
      <c r="N619" s="14" t="n">
        <v>2080.87</v>
      </c>
      <c r="O619" s="14" t="n">
        <v>2003.04</v>
      </c>
      <c r="P619" s="4">
        <f>IF(O619="","",IF(F619&gt;O619,"Above","Below"))</f>
        <v/>
      </c>
      <c r="Q619" s="16" t="n">
        <v>211858</v>
      </c>
      <c r="R619" s="17" t="n">
        <v>0</v>
      </c>
      <c r="S619" s="17" t="n">
        <v>0</v>
      </c>
      <c r="T619" s="17" t="n">
        <v>0</v>
      </c>
      <c r="U619" s="18" t="n">
        <v>0</v>
      </c>
    </row>
    <row r="620">
      <c r="A620" s="13" t="n">
        <v>45370</v>
      </c>
      <c r="B620" s="4">
        <f>TEXT(A620,"ddd")</f>
        <v/>
      </c>
      <c r="C620" s="14" t="n">
        <v>2164</v>
      </c>
      <c r="D620" s="14" t="n">
        <v>2166.3</v>
      </c>
      <c r="E620" s="14" t="n">
        <v>2150.2</v>
      </c>
      <c r="F620" s="14" t="n">
        <v>2159.7</v>
      </c>
      <c r="G620" s="9">
        <f>F620-F619</f>
        <v/>
      </c>
      <c r="H620" s="10">
        <f>IF(F619=0,0,G620/F619)</f>
        <v/>
      </c>
      <c r="I620" s="8">
        <f>D620-E620</f>
        <v/>
      </c>
      <c r="J620" s="4">
        <f>IF(F620&gt;C620,"Up",IF(F620&lt;C620,"Down","Flat"))</f>
        <v/>
      </c>
      <c r="K620" s="14" t="n">
        <v>23.9</v>
      </c>
      <c r="L620" s="15" t="n">
        <v>64.83</v>
      </c>
      <c r="M620" s="14" t="n">
        <v>2128.66</v>
      </c>
      <c r="N620" s="14" t="n">
        <v>2083.97</v>
      </c>
      <c r="O620" s="14" t="n">
        <v>2004.6</v>
      </c>
      <c r="P620" s="4">
        <f>IF(O620="","",IF(F620&gt;O620,"Above","Below"))</f>
        <v/>
      </c>
      <c r="Q620" s="16" t="n">
        <v>178162</v>
      </c>
      <c r="R620" s="17" t="n">
        <v>0</v>
      </c>
      <c r="S620" s="17" t="n">
        <v>0</v>
      </c>
      <c r="T620" s="17" t="n">
        <v>0</v>
      </c>
      <c r="U620" s="18" t="n">
        <v>0</v>
      </c>
    </row>
    <row r="621">
      <c r="A621" s="13" t="n">
        <v>45371</v>
      </c>
      <c r="B621" s="4">
        <f>TEXT(A621,"ddd")</f>
        <v/>
      </c>
      <c r="C621" s="14" t="n">
        <v>2161.4</v>
      </c>
      <c r="D621" s="14" t="n">
        <v>2192.2</v>
      </c>
      <c r="E621" s="14" t="n">
        <v>2152.3</v>
      </c>
      <c r="F621" s="14" t="n">
        <v>2161</v>
      </c>
      <c r="G621" s="9">
        <f>F621-F620</f>
        <v/>
      </c>
      <c r="H621" s="10">
        <f>IF(F620=0,0,G621/F620)</f>
        <v/>
      </c>
      <c r="I621" s="8">
        <f>D621-E621</f>
        <v/>
      </c>
      <c r="J621" s="4">
        <f>IF(F621&gt;C621,"Up",IF(F621&lt;C621,"Down","Flat"))</f>
        <v/>
      </c>
      <c r="K621" s="14" t="n">
        <v>25.05</v>
      </c>
      <c r="L621" s="15" t="n">
        <v>65.13</v>
      </c>
      <c r="M621" s="14" t="n">
        <v>2131.74</v>
      </c>
      <c r="N621" s="14" t="n">
        <v>2086.99</v>
      </c>
      <c r="O621" s="14" t="n">
        <v>2006.16</v>
      </c>
      <c r="P621" s="4">
        <f>IF(O621="","",IF(F621&gt;O621,"Above","Below"))</f>
        <v/>
      </c>
      <c r="Q621" s="16" t="n">
        <v>233572</v>
      </c>
      <c r="R621" s="17" t="n">
        <v>0</v>
      </c>
      <c r="S621" s="17" t="n">
        <v>0</v>
      </c>
      <c r="T621" s="17" t="n">
        <v>0</v>
      </c>
      <c r="U621" s="18" t="n">
        <v>0</v>
      </c>
    </row>
    <row r="622">
      <c r="A622" s="13" t="n">
        <v>45372</v>
      </c>
      <c r="B622" s="4">
        <f>TEXT(A622,"ddd")</f>
        <v/>
      </c>
      <c r="C622" s="14" t="n">
        <v>2190.2</v>
      </c>
      <c r="D622" s="14" t="n">
        <v>2225.3</v>
      </c>
      <c r="E622" s="14" t="n">
        <v>2168.2</v>
      </c>
      <c r="F622" s="14" t="n">
        <v>2184.7</v>
      </c>
      <c r="G622" s="9">
        <f>F622-F621</f>
        <v/>
      </c>
      <c r="H622" s="10">
        <f>IF(F621=0,0,G622/F621)</f>
        <v/>
      </c>
      <c r="I622" s="8">
        <f>D622-E622</f>
        <v/>
      </c>
      <c r="J622" s="4">
        <f>IF(F622&gt;C622,"Up",IF(F622&lt;C622,"Down","Flat"))</f>
        <v/>
      </c>
      <c r="K622" s="14" t="n">
        <v>27.85</v>
      </c>
      <c r="L622" s="15" t="n">
        <v>70.06</v>
      </c>
      <c r="M622" s="14" t="n">
        <v>2136.79</v>
      </c>
      <c r="N622" s="14" t="n">
        <v>2090.82</v>
      </c>
      <c r="O622" s="14" t="n">
        <v>2007.94</v>
      </c>
      <c r="P622" s="4">
        <f>IF(O622="","",IF(F622&gt;O622,"Above","Below"))</f>
        <v/>
      </c>
      <c r="Q622" s="16" t="n">
        <v>391750</v>
      </c>
      <c r="R622" s="17" t="n">
        <v>0</v>
      </c>
      <c r="S622" s="17" t="n">
        <v>0</v>
      </c>
      <c r="T622" s="17" t="n">
        <v>0</v>
      </c>
      <c r="U622" s="18" t="n">
        <v>0</v>
      </c>
    </row>
    <row r="623">
      <c r="A623" s="13" t="n">
        <v>45373</v>
      </c>
      <c r="B623" s="4">
        <f>TEXT(A623,"ddd")</f>
        <v/>
      </c>
      <c r="C623" s="14" t="n">
        <v>2183.4</v>
      </c>
      <c r="D623" s="14" t="n">
        <v>2188</v>
      </c>
      <c r="E623" s="14" t="n">
        <v>2158.4</v>
      </c>
      <c r="F623" s="14" t="n">
        <v>2160</v>
      </c>
      <c r="G623" s="9">
        <f>F623-F622</f>
        <v/>
      </c>
      <c r="H623" s="10">
        <f>IF(F622=0,0,G623/F622)</f>
        <v/>
      </c>
      <c r="I623" s="8">
        <f>D623-E623</f>
        <v/>
      </c>
      <c r="J623" s="4">
        <f>IF(F623&gt;C623,"Up",IF(F623&lt;C623,"Down","Flat"))</f>
        <v/>
      </c>
      <c r="K623" s="14" t="n">
        <v>27.97</v>
      </c>
      <c r="L623" s="15" t="n">
        <v>60.46</v>
      </c>
      <c r="M623" s="14" t="n">
        <v>2139</v>
      </c>
      <c r="N623" s="14" t="n">
        <v>2093.53</v>
      </c>
      <c r="O623" s="14" t="n">
        <v>2009.45</v>
      </c>
      <c r="P623" s="4">
        <f>IF(O623="","",IF(F623&gt;O623,"Above","Below"))</f>
        <v/>
      </c>
      <c r="Q623" s="16" t="n">
        <v>205808</v>
      </c>
      <c r="R623" s="17" t="n">
        <v>0</v>
      </c>
      <c r="S623" s="17" t="n">
        <v>0</v>
      </c>
      <c r="T623" s="17" t="n">
        <v>0</v>
      </c>
      <c r="U623" s="18" t="n">
        <v>0</v>
      </c>
    </row>
    <row r="624">
      <c r="A624" s="13" t="n">
        <v>45376</v>
      </c>
      <c r="B624" s="4">
        <f>TEXT(A624,"ddd")</f>
        <v/>
      </c>
      <c r="C624" s="14" t="n">
        <v>2166.6</v>
      </c>
      <c r="D624" s="14" t="n">
        <v>2182.5</v>
      </c>
      <c r="E624" s="14" t="n">
        <v>2164.4</v>
      </c>
      <c r="F624" s="14" t="n">
        <v>2176.4</v>
      </c>
      <c r="G624" s="9">
        <f>F624-F623</f>
        <v/>
      </c>
      <c r="H624" s="10">
        <f>IF(F623=0,0,G624/F623)</f>
        <v/>
      </c>
      <c r="I624" s="8">
        <f>D624-E624</f>
        <v/>
      </c>
      <c r="J624" s="4">
        <f>IF(F624&gt;C624,"Up",IF(F624&lt;C624,"Down","Flat"))</f>
        <v/>
      </c>
      <c r="K624" s="14" t="n">
        <v>27.58</v>
      </c>
      <c r="L624" s="15" t="n">
        <v>63.99</v>
      </c>
      <c r="M624" s="14" t="n">
        <v>2142.56</v>
      </c>
      <c r="N624" s="14" t="n">
        <v>2096.78</v>
      </c>
      <c r="O624" s="14" t="n">
        <v>2011.11</v>
      </c>
      <c r="P624" s="4">
        <f>IF(O624="","",IF(F624&gt;O624,"Above","Below"))</f>
        <v/>
      </c>
      <c r="Q624" s="16" t="n">
        <v>211610</v>
      </c>
      <c r="R624" s="17" t="n">
        <v>0</v>
      </c>
      <c r="S624" s="17" t="n">
        <v>0</v>
      </c>
      <c r="T624" s="17" t="n">
        <v>0</v>
      </c>
      <c r="U624" s="18" t="n">
        <v>0</v>
      </c>
    </row>
    <row r="625">
      <c r="A625" s="13" t="n">
        <v>45377</v>
      </c>
      <c r="B625" s="4">
        <f>TEXT(A625,"ddd")</f>
        <v/>
      </c>
      <c r="C625" s="14" t="n">
        <v>2173</v>
      </c>
      <c r="D625" s="14" t="n">
        <v>2200.6</v>
      </c>
      <c r="E625" s="14" t="n">
        <v>2168.3</v>
      </c>
      <c r="F625" s="14" t="n">
        <v>2177.2</v>
      </c>
      <c r="G625" s="9">
        <f>F625-F624</f>
        <v/>
      </c>
      <c r="H625" s="10">
        <f>IF(F624=0,0,G625/F624)</f>
        <v/>
      </c>
      <c r="I625" s="8">
        <f>D625-E625</f>
        <v/>
      </c>
      <c r="J625" s="4">
        <f>IF(F625&gt;C625,"Up",IF(F625&lt;C625,"Down","Flat"))</f>
        <v/>
      </c>
      <c r="K625" s="14" t="n">
        <v>27.92</v>
      </c>
      <c r="L625" s="15" t="n">
        <v>64.16</v>
      </c>
      <c r="M625" s="14" t="n">
        <v>2145.86</v>
      </c>
      <c r="N625" s="14" t="n">
        <v>2099.93</v>
      </c>
      <c r="O625" s="14" t="n">
        <v>2012.76</v>
      </c>
      <c r="P625" s="4">
        <f>IF(O625="","",IF(F625&gt;O625,"Above","Below"))</f>
        <v/>
      </c>
      <c r="Q625" s="16" t="n">
        <v>202373</v>
      </c>
      <c r="R625" s="17" t="n">
        <v>0</v>
      </c>
      <c r="S625" s="17" t="n">
        <v>0</v>
      </c>
      <c r="T625" s="17" t="n">
        <v>0</v>
      </c>
      <c r="U625" s="18" t="n">
        <v>0</v>
      </c>
    </row>
    <row r="626">
      <c r="A626" s="13" t="n">
        <v>45378</v>
      </c>
      <c r="B626" s="4">
        <f>TEXT(A626,"ddd")</f>
        <v/>
      </c>
      <c r="C626" s="14" t="n">
        <v>2179.4</v>
      </c>
      <c r="D626" s="14" t="n">
        <v>2196.2</v>
      </c>
      <c r="E626" s="14" t="n">
        <v>2172.1</v>
      </c>
      <c r="F626" s="14" t="n">
        <v>2190.6</v>
      </c>
      <c r="G626" s="9">
        <f>F626-F625</f>
        <v/>
      </c>
      <c r="H626" s="10">
        <f>IF(F625=0,0,G626/F625)</f>
        <v/>
      </c>
      <c r="I626" s="8">
        <f>D626-E626</f>
        <v/>
      </c>
      <c r="J626" s="4">
        <f>IF(F626&gt;C626,"Up",IF(F626&lt;C626,"Down","Flat"))</f>
        <v/>
      </c>
      <c r="K626" s="14" t="n">
        <v>27.65</v>
      </c>
      <c r="L626" s="15" t="n">
        <v>66.94</v>
      </c>
      <c r="M626" s="14" t="n">
        <v>2150.12</v>
      </c>
      <c r="N626" s="14" t="n">
        <v>2103.49</v>
      </c>
      <c r="O626" s="14" t="n">
        <v>2014.53</v>
      </c>
      <c r="P626" s="4">
        <f>IF(O626="","",IF(F626&gt;O626,"Above","Below"))</f>
        <v/>
      </c>
      <c r="Q626" s="16" t="n">
        <v>31200</v>
      </c>
      <c r="R626" s="17" t="n">
        <v>0</v>
      </c>
      <c r="S626" s="17" t="n">
        <v>0</v>
      </c>
      <c r="T626" s="17" t="n">
        <v>0</v>
      </c>
      <c r="U626" s="18" t="n">
        <v>0</v>
      </c>
    </row>
    <row r="627">
      <c r="A627" s="13" t="n">
        <v>45379</v>
      </c>
      <c r="B627" s="4">
        <f>TEXT(A627,"ddd")</f>
        <v/>
      </c>
      <c r="C627" s="14" t="n">
        <v>2193.6</v>
      </c>
      <c r="D627" s="14" t="n">
        <v>2234.1</v>
      </c>
      <c r="E627" s="14" t="n">
        <v>2187.1</v>
      </c>
      <c r="F627" s="14" t="n">
        <v>2217.4</v>
      </c>
      <c r="G627" s="9">
        <f>F627-F626</f>
        <v/>
      </c>
      <c r="H627" s="10">
        <f>IF(F626=0,0,G627/F626)</f>
        <v/>
      </c>
      <c r="I627" s="8">
        <f>D627-E627</f>
        <v/>
      </c>
      <c r="J627" s="4">
        <f>IF(F627&gt;C627,"Up",IF(F627&lt;C627,"Down","Flat"))</f>
        <v/>
      </c>
      <c r="K627" s="14" t="n">
        <v>29.03</v>
      </c>
      <c r="L627" s="15" t="n">
        <v>71.67</v>
      </c>
      <c r="M627" s="14" t="n">
        <v>2156.53</v>
      </c>
      <c r="N627" s="14" t="n">
        <v>2107.96</v>
      </c>
      <c r="O627" s="14" t="n">
        <v>2016.55</v>
      </c>
      <c r="P627" s="4">
        <f>IF(O627="","",IF(F627&gt;O627,"Above","Below"))</f>
        <v/>
      </c>
      <c r="Q627" s="16" t="n">
        <v>250248</v>
      </c>
      <c r="R627" s="17" t="n">
        <v>0</v>
      </c>
      <c r="S627" s="17" t="n">
        <v>0</v>
      </c>
      <c r="T627" s="17" t="n">
        <v>0</v>
      </c>
      <c r="U627" s="18" t="n">
        <v>0</v>
      </c>
    </row>
    <row r="628">
      <c r="A628" s="13" t="n">
        <v>45383</v>
      </c>
      <c r="B628" s="4">
        <f>TEXT(A628,"ddd")</f>
        <v/>
      </c>
      <c r="C628" s="14" t="n">
        <v>2259.2</v>
      </c>
      <c r="D628" s="14" t="n">
        <v>2286.4</v>
      </c>
      <c r="E628" s="14" t="n">
        <v>2249.1</v>
      </c>
      <c r="F628" s="14" t="n">
        <v>2257.1</v>
      </c>
      <c r="G628" s="9">
        <f>F628-F627</f>
        <v/>
      </c>
      <c r="H628" s="10">
        <f>IF(F627=0,0,G628/F627)</f>
        <v/>
      </c>
      <c r="I628" s="8">
        <f>D628-E628</f>
        <v/>
      </c>
      <c r="J628" s="4">
        <f>IF(F628&gt;C628,"Up",IF(F628&lt;C628,"Down","Flat"))</f>
        <v/>
      </c>
      <c r="K628" s="14" t="n">
        <v>31.89</v>
      </c>
      <c r="L628" s="15" t="n">
        <v>76.94</v>
      </c>
      <c r="M628" s="14" t="n">
        <v>2166.11</v>
      </c>
      <c r="N628" s="14" t="n">
        <v>2113.81</v>
      </c>
      <c r="O628" s="14" t="n">
        <v>2018.94</v>
      </c>
      <c r="P628" s="4">
        <f>IF(O628="","",IF(F628&gt;O628,"Above","Below"))</f>
        <v/>
      </c>
      <c r="Q628" s="16" t="n">
        <v>220767</v>
      </c>
      <c r="R628" s="17" t="n">
        <v>0</v>
      </c>
      <c r="S628" s="17" t="n">
        <v>0</v>
      </c>
      <c r="T628" s="17" t="n">
        <v>0</v>
      </c>
      <c r="U628" s="18" t="n">
        <v>0</v>
      </c>
    </row>
    <row r="629">
      <c r="A629" s="13" t="n">
        <v>45384</v>
      </c>
      <c r="B629" s="4">
        <f>TEXT(A629,"ddd")</f>
        <v/>
      </c>
      <c r="C629" s="14" t="n">
        <v>2272.7</v>
      </c>
      <c r="D629" s="14" t="n">
        <v>2301.9</v>
      </c>
      <c r="E629" s="14" t="n">
        <v>2267.1</v>
      </c>
      <c r="F629" s="14" t="n">
        <v>2281.8</v>
      </c>
      <c r="G629" s="9">
        <f>F629-F628</f>
        <v/>
      </c>
      <c r="H629" s="10">
        <f>IF(F628=0,0,G629/F628)</f>
        <v/>
      </c>
      <c r="I629" s="8">
        <f>D629-E629</f>
        <v/>
      </c>
      <c r="J629" s="4">
        <f>IF(F629&gt;C629,"Up",IF(F629&lt;C629,"Down","Flat"))</f>
        <v/>
      </c>
      <c r="K629" s="14" t="n">
        <v>32.81</v>
      </c>
      <c r="L629" s="15" t="n">
        <v>79.5</v>
      </c>
      <c r="M629" s="14" t="n">
        <v>2177.12</v>
      </c>
      <c r="N629" s="14" t="n">
        <v>2120.39</v>
      </c>
      <c r="O629" s="14" t="n">
        <v>2021.56</v>
      </c>
      <c r="P629" s="4">
        <f>IF(O629="","",IF(F629&gt;O629,"Above","Below"))</f>
        <v/>
      </c>
      <c r="Q629" s="16" t="n">
        <v>277228</v>
      </c>
      <c r="R629" s="17" t="n">
        <v>0</v>
      </c>
      <c r="S629" s="17" t="n">
        <v>0</v>
      </c>
      <c r="T629" s="17" t="n">
        <v>0</v>
      </c>
      <c r="U629" s="18" t="n">
        <v>0</v>
      </c>
    </row>
    <row r="630">
      <c r="A630" s="13" t="n">
        <v>45385</v>
      </c>
      <c r="B630" s="4">
        <f>TEXT(A630,"ddd")</f>
        <v/>
      </c>
      <c r="C630" s="14" t="n">
        <v>2301.7</v>
      </c>
      <c r="D630" s="14" t="n">
        <v>2321.8</v>
      </c>
      <c r="E630" s="14" t="n">
        <v>2285.7</v>
      </c>
      <c r="F630" s="14" t="n">
        <v>2315</v>
      </c>
      <c r="G630" s="9">
        <f>F630-F629</f>
        <v/>
      </c>
      <c r="H630" s="10">
        <f>IF(F629=0,0,G630/F629)</f>
        <v/>
      </c>
      <c r="I630" s="8">
        <f>D630-E630</f>
        <v/>
      </c>
      <c r="J630" s="4">
        <f>IF(F630&gt;C630,"Up",IF(F630&lt;C630,"Down","Flat"))</f>
        <v/>
      </c>
      <c r="K630" s="14" t="n">
        <v>33.32</v>
      </c>
      <c r="L630" s="15" t="n">
        <v>82.33</v>
      </c>
      <c r="M630" s="14" t="n">
        <v>2190.25</v>
      </c>
      <c r="N630" s="14" t="n">
        <v>2128.03</v>
      </c>
      <c r="O630" s="14" t="n">
        <v>2024.48</v>
      </c>
      <c r="P630" s="4">
        <f>IF(O630="","",IF(F630&gt;O630,"Above","Below"))</f>
        <v/>
      </c>
      <c r="Q630" s="16" t="n">
        <v>254574</v>
      </c>
      <c r="R630" s="17" t="n">
        <v>0</v>
      </c>
      <c r="S630" s="17" t="n">
        <v>0</v>
      </c>
      <c r="T630" s="17" t="n">
        <v>0</v>
      </c>
      <c r="U630" s="18" t="n">
        <v>0</v>
      </c>
    </row>
    <row r="631">
      <c r="A631" s="13" t="n">
        <v>45386</v>
      </c>
      <c r="B631" s="4">
        <f>TEXT(A631,"ddd")</f>
        <v/>
      </c>
      <c r="C631" s="14" t="n">
        <v>2321</v>
      </c>
      <c r="D631" s="14" t="n">
        <v>2325.3</v>
      </c>
      <c r="E631" s="14" t="n">
        <v>2298.7</v>
      </c>
      <c r="F631" s="14" t="n">
        <v>2308.5</v>
      </c>
      <c r="G631" s="9">
        <f>F631-F630</f>
        <v/>
      </c>
      <c r="H631" s="10">
        <f>IF(F630=0,0,G631/F630)</f>
        <v/>
      </c>
      <c r="I631" s="8">
        <f>D631-E631</f>
        <v/>
      </c>
      <c r="J631" s="4">
        <f>IF(F631&gt;C631,"Up",IF(F631&lt;C631,"Down","Flat"))</f>
        <v/>
      </c>
      <c r="K631" s="14" t="n">
        <v>32.84</v>
      </c>
      <c r="L631" s="15" t="n">
        <v>80</v>
      </c>
      <c r="M631" s="14" t="n">
        <v>2201.52</v>
      </c>
      <c r="N631" s="14" t="n">
        <v>2135.1</v>
      </c>
      <c r="O631" s="14" t="n">
        <v>2027.31</v>
      </c>
      <c r="P631" s="4">
        <f>IF(O631="","",IF(F631&gt;O631,"Above","Below"))</f>
        <v/>
      </c>
      <c r="Q631" s="16" t="n">
        <v>236227</v>
      </c>
      <c r="R631" s="17" t="n">
        <v>0</v>
      </c>
      <c r="S631" s="17" t="n">
        <v>0</v>
      </c>
      <c r="T631" s="17" t="n">
        <v>0</v>
      </c>
      <c r="U631" s="18" t="n">
        <v>0</v>
      </c>
    </row>
    <row r="632">
      <c r="A632" s="13" t="n">
        <v>45387</v>
      </c>
      <c r="B632" s="4">
        <f>TEXT(A632,"ddd")</f>
        <v/>
      </c>
      <c r="C632" s="14" t="n">
        <v>2309.5</v>
      </c>
      <c r="D632" s="14" t="n">
        <v>2350</v>
      </c>
      <c r="E632" s="14" t="n">
        <v>2286.2</v>
      </c>
      <c r="F632" s="14" t="n">
        <v>2345.4</v>
      </c>
      <c r="G632" s="9">
        <f>F632-F631</f>
        <v/>
      </c>
      <c r="H632" s="10">
        <f>IF(F631=0,0,G632/F631)</f>
        <v/>
      </c>
      <c r="I632" s="8">
        <f>D632-E632</f>
        <v/>
      </c>
      <c r="J632" s="4">
        <f>IF(F632&gt;C632,"Up",IF(F632&lt;C632,"Down","Flat"))</f>
        <v/>
      </c>
      <c r="K632" s="14" t="n">
        <v>35.05</v>
      </c>
      <c r="L632" s="15" t="n">
        <v>82.95</v>
      </c>
      <c r="M632" s="14" t="n">
        <v>2215.22</v>
      </c>
      <c r="N632" s="14" t="n">
        <v>2143.35</v>
      </c>
      <c r="O632" s="14" t="n">
        <v>2030.47</v>
      </c>
      <c r="P632" s="4">
        <f>IF(O632="","",IF(F632&gt;O632,"Above","Below"))</f>
        <v/>
      </c>
      <c r="Q632" s="16" t="n">
        <v>293212</v>
      </c>
      <c r="R632" s="17" t="n">
        <v>0</v>
      </c>
      <c r="S632" s="17" t="n">
        <v>0</v>
      </c>
      <c r="T632" s="17" t="n">
        <v>0</v>
      </c>
      <c r="U632" s="18" t="n">
        <v>0</v>
      </c>
    </row>
    <row r="633">
      <c r="A633" s="13" t="n">
        <v>45390</v>
      </c>
      <c r="B633" s="4">
        <f>TEXT(A633,"ddd")</f>
        <v/>
      </c>
      <c r="C633" s="14" t="n">
        <v>2343.6</v>
      </c>
      <c r="D633" s="14" t="n">
        <v>2372.5</v>
      </c>
      <c r="E633" s="14" t="n">
        <v>2321.7</v>
      </c>
      <c r="F633" s="14" t="n">
        <v>2351</v>
      </c>
      <c r="G633" s="9">
        <f>F633-F632</f>
        <v/>
      </c>
      <c r="H633" s="10">
        <f>IF(F632=0,0,G633/F632)</f>
        <v/>
      </c>
      <c r="I633" s="8">
        <f>D633-E633</f>
        <v/>
      </c>
      <c r="J633" s="4">
        <f>IF(F633&gt;C633,"Up",IF(F633&lt;C633,"Down","Flat"))</f>
        <v/>
      </c>
      <c r="K633" s="14" t="n">
        <v>36.18</v>
      </c>
      <c r="L633" s="15" t="n">
        <v>83.34999999999999</v>
      </c>
      <c r="M633" s="14" t="n">
        <v>2228.15</v>
      </c>
      <c r="N633" s="14" t="n">
        <v>2151.49</v>
      </c>
      <c r="O633" s="14" t="n">
        <v>2033.66</v>
      </c>
      <c r="P633" s="4">
        <f>IF(O633="","",IF(F633&gt;O633,"Above","Below"))</f>
        <v/>
      </c>
      <c r="Q633" s="16" t="n">
        <v>285570</v>
      </c>
      <c r="R633" s="17" t="n">
        <v>0</v>
      </c>
      <c r="S633" s="17" t="n">
        <v>0</v>
      </c>
      <c r="T633" s="17" t="n">
        <v>0</v>
      </c>
      <c r="U633" s="18" t="n">
        <v>0</v>
      </c>
    </row>
    <row r="634">
      <c r="A634" s="13" t="n">
        <v>45391</v>
      </c>
      <c r="B634" s="4">
        <f>TEXT(A634,"ddd")</f>
        <v/>
      </c>
      <c r="C634" s="14" t="n">
        <v>2358.1</v>
      </c>
      <c r="D634" s="14" t="n">
        <v>2384.5</v>
      </c>
      <c r="E634" s="14" t="n">
        <v>2355.7</v>
      </c>
      <c r="F634" s="14" t="n">
        <v>2362.4</v>
      </c>
      <c r="G634" s="9">
        <f>F634-F633</f>
        <v/>
      </c>
      <c r="H634" s="10">
        <f>IF(F633=0,0,G634/F633)</f>
        <v/>
      </c>
      <c r="I634" s="8">
        <f>D634-E634</f>
        <v/>
      </c>
      <c r="J634" s="4">
        <f>IF(F634&gt;C634,"Up",IF(F634&lt;C634,"Down","Flat"))</f>
        <v/>
      </c>
      <c r="K634" s="14" t="n">
        <v>35.99</v>
      </c>
      <c r="L634" s="15" t="n">
        <v>84.17</v>
      </c>
      <c r="M634" s="14" t="n">
        <v>2240.94</v>
      </c>
      <c r="N634" s="14" t="n">
        <v>2159.76</v>
      </c>
      <c r="O634" s="14" t="n">
        <v>2036.93</v>
      </c>
      <c r="P634" s="4">
        <f>IF(O634="","",IF(F634&gt;O634,"Above","Below"))</f>
        <v/>
      </c>
      <c r="Q634" s="16" t="n">
        <v>279608</v>
      </c>
      <c r="R634" s="17" t="n">
        <v>0</v>
      </c>
      <c r="S634" s="17" t="n">
        <v>0</v>
      </c>
      <c r="T634" s="17" t="n">
        <v>0</v>
      </c>
      <c r="U634" s="18" t="n">
        <v>0</v>
      </c>
    </row>
    <row r="635">
      <c r="A635" s="13" t="n">
        <v>45392</v>
      </c>
      <c r="B635" s="4">
        <f>TEXT(A635,"ddd")</f>
        <v/>
      </c>
      <c r="C635" s="14" t="n">
        <v>2372.4</v>
      </c>
      <c r="D635" s="14" t="n">
        <v>2378.1</v>
      </c>
      <c r="E635" s="14" t="n">
        <v>2337.1</v>
      </c>
      <c r="F635" s="14" t="n">
        <v>2348.4</v>
      </c>
      <c r="G635" s="9">
        <f>F635-F634</f>
        <v/>
      </c>
      <c r="H635" s="10">
        <f>IF(F634=0,0,G635/F634)</f>
        <v/>
      </c>
      <c r="I635" s="8">
        <f>D635-E635</f>
        <v/>
      </c>
      <c r="J635" s="4">
        <f>IF(F635&gt;C635,"Up",IF(F635&lt;C635,"Down","Flat"))</f>
        <v/>
      </c>
      <c r="K635" s="14" t="n">
        <v>36.34</v>
      </c>
      <c r="L635" s="15" t="n">
        <v>79.04000000000001</v>
      </c>
      <c r="M635" s="14" t="n">
        <v>2251.17</v>
      </c>
      <c r="N635" s="14" t="n">
        <v>2167.16</v>
      </c>
      <c r="O635" s="14" t="n">
        <v>2040.03</v>
      </c>
      <c r="P635" s="4">
        <f>IF(O635="","",IF(F635&gt;O635,"Above","Below"))</f>
        <v/>
      </c>
      <c r="Q635" s="16" t="n">
        <v>353847</v>
      </c>
      <c r="R635" s="17" t="n">
        <v>0</v>
      </c>
      <c r="S635" s="17" t="n">
        <v>0</v>
      </c>
      <c r="T635" s="17" t="n">
        <v>0</v>
      </c>
      <c r="U635" s="18" t="n">
        <v>0</v>
      </c>
    </row>
    <row r="636">
      <c r="A636" s="13" t="n">
        <v>45393</v>
      </c>
      <c r="B636" s="4">
        <f>TEXT(A636,"ddd")</f>
        <v/>
      </c>
      <c r="C636" s="14" t="n">
        <v>2351.7</v>
      </c>
      <c r="D636" s="14" t="n">
        <v>2395.6</v>
      </c>
      <c r="E636" s="14" t="n">
        <v>2343.1</v>
      </c>
      <c r="F636" s="14" t="n">
        <v>2372.7</v>
      </c>
      <c r="G636" s="9">
        <f>F636-F635</f>
        <v/>
      </c>
      <c r="H636" s="10">
        <f>IF(F635=0,0,G636/F635)</f>
        <v/>
      </c>
      <c r="I636" s="8">
        <f>D636-E636</f>
        <v/>
      </c>
      <c r="J636" s="4">
        <f>IF(F636&gt;C636,"Up",IF(F636&lt;C636,"Down","Flat"))</f>
        <v/>
      </c>
      <c r="K636" s="14" t="n">
        <v>37.5</v>
      </c>
      <c r="L636" s="15" t="n">
        <v>81.18000000000001</v>
      </c>
      <c r="M636" s="14" t="n">
        <v>2262.75</v>
      </c>
      <c r="N636" s="14" t="n">
        <v>2175.22</v>
      </c>
      <c r="O636" s="14" t="n">
        <v>2043.34</v>
      </c>
      <c r="P636" s="4">
        <f>IF(O636="","",IF(F636&gt;O636,"Above","Below"))</f>
        <v/>
      </c>
      <c r="Q636" s="16" t="n">
        <v>260415</v>
      </c>
      <c r="R636" s="17" t="n">
        <v>0</v>
      </c>
      <c r="S636" s="17" t="n">
        <v>0</v>
      </c>
      <c r="T636" s="17" t="n">
        <v>0</v>
      </c>
      <c r="U636" s="18" t="n">
        <v>0</v>
      </c>
    </row>
    <row r="637">
      <c r="A637" s="13" t="n">
        <v>45394</v>
      </c>
      <c r="B637" s="4">
        <f>TEXT(A637,"ddd")</f>
        <v/>
      </c>
      <c r="C637" s="14" t="n">
        <v>2389.4</v>
      </c>
      <c r="D637" s="14" t="n">
        <v>2448.8</v>
      </c>
      <c r="E637" s="14" t="n">
        <v>2350.6</v>
      </c>
      <c r="F637" s="14" t="n">
        <v>2374.1</v>
      </c>
      <c r="G637" s="9">
        <f>F637-F636</f>
        <v/>
      </c>
      <c r="H637" s="10">
        <f>IF(F636=0,0,G637/F636)</f>
        <v/>
      </c>
      <c r="I637" s="8">
        <f>D637-E637</f>
        <v/>
      </c>
      <c r="J637" s="4">
        <f>IF(F637&gt;C637,"Up",IF(F637&lt;C637,"Down","Flat"))</f>
        <v/>
      </c>
      <c r="K637" s="14" t="n">
        <v>41.83</v>
      </c>
      <c r="L637" s="15" t="n">
        <v>81.3</v>
      </c>
      <c r="M637" s="14" t="n">
        <v>2273.35</v>
      </c>
      <c r="N637" s="14" t="n">
        <v>2183.02</v>
      </c>
      <c r="O637" s="14" t="n">
        <v>2046.63</v>
      </c>
      <c r="P637" s="4">
        <f>IF(O637="","",IF(F637&gt;O637,"Above","Below"))</f>
        <v/>
      </c>
      <c r="Q637" s="16" t="n">
        <v>479894</v>
      </c>
      <c r="R637" s="17" t="n">
        <v>0</v>
      </c>
      <c r="S637" s="17" t="n">
        <v>0</v>
      </c>
      <c r="T637" s="17" t="n">
        <v>0</v>
      </c>
      <c r="U637" s="18" t="n">
        <v>0</v>
      </c>
    </row>
    <row r="638">
      <c r="A638" s="13" t="n">
        <v>45397</v>
      </c>
      <c r="B638" s="4">
        <f>TEXT(A638,"ddd")</f>
        <v/>
      </c>
      <c r="C638" s="14" t="n">
        <v>2369.4</v>
      </c>
      <c r="D638" s="14" t="n">
        <v>2404.3</v>
      </c>
      <c r="E638" s="14" t="n">
        <v>2340.2</v>
      </c>
      <c r="F638" s="14" t="n">
        <v>2383</v>
      </c>
      <c r="G638" s="9">
        <f>F638-F637</f>
        <v/>
      </c>
      <c r="H638" s="10">
        <f>IF(F637=0,0,G638/F637)</f>
        <v/>
      </c>
      <c r="I638" s="8">
        <f>D638-E638</f>
        <v/>
      </c>
      <c r="J638" s="4">
        <f>IF(F638&gt;C638,"Up",IF(F638&lt;C638,"Down","Flat"))</f>
        <v/>
      </c>
      <c r="K638" s="14" t="n">
        <v>43.42</v>
      </c>
      <c r="L638" s="15" t="n">
        <v>82.08</v>
      </c>
      <c r="M638" s="14" t="n">
        <v>2283.79</v>
      </c>
      <c r="N638" s="14" t="n">
        <v>2190.86</v>
      </c>
      <c r="O638" s="14" t="n">
        <v>2049.98</v>
      </c>
      <c r="P638" s="4">
        <f>IF(O638="","",IF(F638&gt;O638,"Above","Below"))</f>
        <v/>
      </c>
      <c r="Q638" s="16" t="n">
        <v>343730</v>
      </c>
      <c r="R638" s="17" t="n">
        <v>0</v>
      </c>
      <c r="S638" s="17" t="n">
        <v>0</v>
      </c>
      <c r="T638" s="17" t="n">
        <v>0</v>
      </c>
      <c r="U638" s="18" t="n">
        <v>0</v>
      </c>
    </row>
    <row r="639">
      <c r="A639" s="13" t="n">
        <v>45398</v>
      </c>
      <c r="B639" s="4">
        <f>TEXT(A639,"ddd")</f>
        <v/>
      </c>
      <c r="C639" s="14" t="n">
        <v>2399.1</v>
      </c>
      <c r="D639" s="14" t="n">
        <v>2414.8</v>
      </c>
      <c r="E639" s="14" t="n">
        <v>2379.2</v>
      </c>
      <c r="F639" s="14" t="n">
        <v>2407.8</v>
      </c>
      <c r="G639" s="9">
        <f>F639-F638</f>
        <v/>
      </c>
      <c r="H639" s="10">
        <f>IF(F638=0,0,G639/F638)</f>
        <v/>
      </c>
      <c r="I639" s="8">
        <f>D639-E639</f>
        <v/>
      </c>
      <c r="J639" s="4">
        <f>IF(F639&gt;C639,"Up",IF(F639&lt;C639,"Down","Flat"))</f>
        <v/>
      </c>
      <c r="K639" s="14" t="n">
        <v>42.87</v>
      </c>
      <c r="L639" s="15" t="n">
        <v>84.06</v>
      </c>
      <c r="M639" s="14" t="n">
        <v>2295.6</v>
      </c>
      <c r="N639" s="14" t="n">
        <v>2199.37</v>
      </c>
      <c r="O639" s="14" t="n">
        <v>2053.54</v>
      </c>
      <c r="P639" s="4">
        <f>IF(O639="","",IF(F639&gt;O639,"Above","Below"))</f>
        <v/>
      </c>
      <c r="Q639" s="16" t="n">
        <v>297592</v>
      </c>
      <c r="R639" s="17" t="n">
        <v>0</v>
      </c>
      <c r="S639" s="17" t="n">
        <v>0</v>
      </c>
      <c r="T639" s="17" t="n">
        <v>0</v>
      </c>
      <c r="U639" s="18" t="n">
        <v>0</v>
      </c>
    </row>
    <row r="640">
      <c r="A640" s="13" t="n">
        <v>45399</v>
      </c>
      <c r="B640" s="4">
        <f>TEXT(A640,"ddd")</f>
        <v/>
      </c>
      <c r="C640" s="14" t="n">
        <v>2398</v>
      </c>
      <c r="D640" s="14" t="n">
        <v>2412</v>
      </c>
      <c r="E640" s="14" t="n">
        <v>2370.7</v>
      </c>
      <c r="F640" s="14" t="n">
        <v>2388.4</v>
      </c>
      <c r="G640" s="9">
        <f>F640-F639</f>
        <v/>
      </c>
      <c r="H640" s="10">
        <f>IF(F639=0,0,G640/F639)</f>
        <v/>
      </c>
      <c r="I640" s="8">
        <f>D640-E640</f>
        <v/>
      </c>
      <c r="J640" s="4">
        <f>IF(F640&gt;C640,"Up",IF(F640&lt;C640,"Down","Flat"))</f>
        <v/>
      </c>
      <c r="K640" s="14" t="n">
        <v>42.75</v>
      </c>
      <c r="L640" s="15" t="n">
        <v>76.90000000000001</v>
      </c>
      <c r="M640" s="14" t="n">
        <v>2304.44</v>
      </c>
      <c r="N640" s="14" t="n">
        <v>2206.78</v>
      </c>
      <c r="O640" s="14" t="n">
        <v>2056.87</v>
      </c>
      <c r="P640" s="4">
        <f>IF(O640="","",IF(F640&gt;O640,"Above","Below"))</f>
        <v/>
      </c>
      <c r="Q640" s="16" t="n">
        <v>284352</v>
      </c>
      <c r="R640" s="17" t="n">
        <v>0</v>
      </c>
      <c r="S640" s="17" t="n">
        <v>0</v>
      </c>
      <c r="T640" s="17" t="n">
        <v>0</v>
      </c>
      <c r="U640" s="18" t="n">
        <v>0</v>
      </c>
    </row>
    <row r="641">
      <c r="A641" s="13" t="n">
        <v>45400</v>
      </c>
      <c r="B641" s="4">
        <f>TEXT(A641,"ddd")</f>
        <v/>
      </c>
      <c r="C641" s="14" t="n">
        <v>2377.9</v>
      </c>
      <c r="D641" s="14" t="n">
        <v>2408</v>
      </c>
      <c r="E641" s="14" t="n">
        <v>2377.2</v>
      </c>
      <c r="F641" s="14" t="n">
        <v>2398</v>
      </c>
      <c r="G641" s="9">
        <f>F641-F640</f>
        <v/>
      </c>
      <c r="H641" s="10">
        <f>IF(F640=0,0,G641/F640)</f>
        <v/>
      </c>
      <c r="I641" s="8">
        <f>D641-E641</f>
        <v/>
      </c>
      <c r="J641" s="4">
        <f>IF(F641&gt;C641,"Up",IF(F641&lt;C641,"Down","Flat"))</f>
        <v/>
      </c>
      <c r="K641" s="14" t="n">
        <v>41.9</v>
      </c>
      <c r="L641" s="15" t="n">
        <v>77.90000000000001</v>
      </c>
      <c r="M641" s="14" t="n">
        <v>2313.35</v>
      </c>
      <c r="N641" s="14" t="n">
        <v>2214.28</v>
      </c>
      <c r="O641" s="14" t="n">
        <v>2060.26</v>
      </c>
      <c r="P641" s="4">
        <f>IF(O641="","",IF(F641&gt;O641,"Above","Below"))</f>
        <v/>
      </c>
      <c r="Q641" s="16" t="n">
        <v>200546</v>
      </c>
      <c r="R641" s="17" t="n">
        <v>0</v>
      </c>
      <c r="S641" s="17" t="n">
        <v>0</v>
      </c>
      <c r="T641" s="17" t="n">
        <v>0</v>
      </c>
      <c r="U641" s="18" t="n">
        <v>0</v>
      </c>
    </row>
    <row r="642">
      <c r="A642" s="13" t="n">
        <v>45401</v>
      </c>
      <c r="B642" s="4">
        <f>TEXT(A642,"ddd")</f>
        <v/>
      </c>
      <c r="C642" s="14" t="n">
        <v>2394</v>
      </c>
      <c r="D642" s="14" t="n">
        <v>2433.3</v>
      </c>
      <c r="E642" s="14" t="n">
        <v>2386.8</v>
      </c>
      <c r="F642" s="14" t="n">
        <v>2413.8</v>
      </c>
      <c r="G642" s="9">
        <f>F642-F641</f>
        <v/>
      </c>
      <c r="H642" s="10">
        <f>IF(F641=0,0,G642/F641)</f>
        <v/>
      </c>
      <c r="I642" s="8">
        <f>D642-E642</f>
        <v/>
      </c>
      <c r="J642" s="4">
        <f>IF(F642&gt;C642,"Up",IF(F642&lt;C642,"Down","Flat"))</f>
        <v/>
      </c>
      <c r="K642" s="14" t="n">
        <v>42.23</v>
      </c>
      <c r="L642" s="15" t="n">
        <v>79.48</v>
      </c>
      <c r="M642" s="14" t="n">
        <v>2322.92</v>
      </c>
      <c r="N642" s="14" t="n">
        <v>2222.11</v>
      </c>
      <c r="O642" s="14" t="n">
        <v>2063.78</v>
      </c>
      <c r="P642" s="4">
        <f>IF(O642="","",IF(F642&gt;O642,"Above","Below"))</f>
        <v/>
      </c>
      <c r="Q642" s="16" t="n">
        <v>275405</v>
      </c>
      <c r="R642" s="17" t="n">
        <v>0</v>
      </c>
      <c r="S642" s="17" t="n">
        <v>0</v>
      </c>
      <c r="T642" s="17" t="n">
        <v>0</v>
      </c>
      <c r="U642" s="18" t="n">
        <v>0</v>
      </c>
    </row>
    <row r="643">
      <c r="A643" s="13" t="n">
        <v>45404</v>
      </c>
      <c r="B643" s="4">
        <f>TEXT(A643,"ddd")</f>
        <v/>
      </c>
      <c r="C643" s="14" t="n">
        <v>2403.7</v>
      </c>
      <c r="D643" s="14" t="n">
        <v>2404.3</v>
      </c>
      <c r="E643" s="14" t="n">
        <v>2338.2</v>
      </c>
      <c r="F643" s="14" t="n">
        <v>2346.4</v>
      </c>
      <c r="G643" s="9">
        <f>F643-F642</f>
        <v/>
      </c>
      <c r="H643" s="10">
        <f>IF(F642=0,0,G643/F642)</f>
        <v/>
      </c>
      <c r="I643" s="8">
        <f>D643-E643</f>
        <v/>
      </c>
      <c r="J643" s="4">
        <f>IF(F643&gt;C643,"Up",IF(F643&lt;C643,"Down","Flat"))</f>
        <v/>
      </c>
      <c r="K643" s="14" t="n">
        <v>44.61</v>
      </c>
      <c r="L643" s="15" t="n">
        <v>59.84</v>
      </c>
      <c r="M643" s="14" t="n">
        <v>2325.15</v>
      </c>
      <c r="N643" s="14" t="n">
        <v>2226.98</v>
      </c>
      <c r="O643" s="14" t="n">
        <v>2066.59</v>
      </c>
      <c r="P643" s="4">
        <f>IF(O643="","",IF(F643&gt;O643,"Above","Below"))</f>
        <v/>
      </c>
      <c r="Q643" s="16" t="n">
        <v>262673</v>
      </c>
      <c r="R643" s="17" t="n">
        <v>0</v>
      </c>
      <c r="S643" s="17" t="n">
        <v>0</v>
      </c>
      <c r="T643" s="17" t="n">
        <v>0</v>
      </c>
      <c r="U643" s="18" t="n">
        <v>0</v>
      </c>
    </row>
    <row r="644">
      <c r="A644" s="13" t="n">
        <v>45405</v>
      </c>
      <c r="B644" s="4">
        <f>TEXT(A644,"ddd")</f>
        <v/>
      </c>
      <c r="C644" s="14" t="n">
        <v>2342.3</v>
      </c>
      <c r="D644" s="14" t="n">
        <v>2347.9</v>
      </c>
      <c r="E644" s="14" t="n">
        <v>2304.6</v>
      </c>
      <c r="F644" s="14" t="n">
        <v>2342.1</v>
      </c>
      <c r="G644" s="9">
        <f>F644-F643</f>
        <v/>
      </c>
      <c r="H644" s="10">
        <f>IF(F643=0,0,G644/F643)</f>
        <v/>
      </c>
      <c r="I644" s="8">
        <f>D644-E644</f>
        <v/>
      </c>
      <c r="J644" s="4">
        <f>IF(F644&gt;C644,"Up",IF(F644&lt;C644,"Down","Flat"))</f>
        <v/>
      </c>
      <c r="K644" s="14" t="n">
        <v>44.52</v>
      </c>
      <c r="L644" s="15" t="n">
        <v>58.84</v>
      </c>
      <c r="M644" s="14" t="n">
        <v>2326.77</v>
      </c>
      <c r="N644" s="14" t="n">
        <v>2231.5</v>
      </c>
      <c r="O644" s="14" t="n">
        <v>2069.34</v>
      </c>
      <c r="P644" s="4">
        <f>IF(O644="","",IF(F644&gt;O644,"Above","Below"))</f>
        <v/>
      </c>
      <c r="Q644" s="16" t="n">
        <v>270225</v>
      </c>
      <c r="R644" s="17" t="n">
        <v>0</v>
      </c>
      <c r="S644" s="17" t="n">
        <v>0</v>
      </c>
      <c r="T644" s="17" t="n">
        <v>0</v>
      </c>
      <c r="U644" s="18" t="n">
        <v>0</v>
      </c>
    </row>
    <row r="645">
      <c r="A645" s="13" t="n">
        <v>45406</v>
      </c>
      <c r="B645" s="4">
        <f>TEXT(A645,"ddd")</f>
        <v/>
      </c>
      <c r="C645" s="14" t="n">
        <v>2335.7</v>
      </c>
      <c r="D645" s="14" t="n">
        <v>2350.9</v>
      </c>
      <c r="E645" s="14" t="n">
        <v>2324.8</v>
      </c>
      <c r="F645" s="14" t="n">
        <v>2338.4</v>
      </c>
      <c r="G645" s="9">
        <f>F645-F644</f>
        <v/>
      </c>
      <c r="H645" s="10">
        <f>IF(F644=0,0,G645/F644)</f>
        <v/>
      </c>
      <c r="I645" s="8">
        <f>D645-E645</f>
        <v/>
      </c>
      <c r="J645" s="4">
        <f>IF(F645&gt;C645,"Up",IF(F645&lt;C645,"Down","Flat"))</f>
        <v/>
      </c>
      <c r="K645" s="14" t="n">
        <v>43.2</v>
      </c>
      <c r="L645" s="15" t="n">
        <v>57.94</v>
      </c>
      <c r="M645" s="14" t="n">
        <v>2327.88</v>
      </c>
      <c r="N645" s="14" t="n">
        <v>2235.69</v>
      </c>
      <c r="O645" s="14" t="n">
        <v>2072.01</v>
      </c>
      <c r="P645" s="4">
        <f>IF(O645="","",IF(F645&gt;O645,"Above","Below"))</f>
        <v/>
      </c>
      <c r="Q645" s="16" t="n">
        <v>187699</v>
      </c>
      <c r="R645" s="17" t="n">
        <v>0</v>
      </c>
      <c r="S645" s="17" t="n">
        <v>0</v>
      </c>
      <c r="T645" s="17" t="n">
        <v>0</v>
      </c>
      <c r="U645" s="18" t="n">
        <v>0</v>
      </c>
    </row>
    <row r="646">
      <c r="A646" s="13" t="n">
        <v>45407</v>
      </c>
      <c r="B646" s="4">
        <f>TEXT(A646,"ddd")</f>
        <v/>
      </c>
      <c r="C646" s="14" t="n">
        <v>2327.4</v>
      </c>
      <c r="D646" s="14" t="n">
        <v>2357.6</v>
      </c>
      <c r="E646" s="14" t="n">
        <v>2316.4</v>
      </c>
      <c r="F646" s="14" t="n">
        <v>2342.5</v>
      </c>
      <c r="G646" s="9">
        <f>F646-F645</f>
        <v/>
      </c>
      <c r="H646" s="10">
        <f>IF(F645=0,0,G646/F645)</f>
        <v/>
      </c>
      <c r="I646" s="8">
        <f>D646-E646</f>
        <v/>
      </c>
      <c r="J646" s="4">
        <f>IF(F646&gt;C646,"Up",IF(F646&lt;C646,"Down","Flat"))</f>
        <v/>
      </c>
      <c r="K646" s="14" t="n">
        <v>43.06</v>
      </c>
      <c r="L646" s="15" t="n">
        <v>58.69</v>
      </c>
      <c r="M646" s="14" t="n">
        <v>2329.27</v>
      </c>
      <c r="N646" s="14" t="n">
        <v>2239.88</v>
      </c>
      <c r="O646" s="14" t="n">
        <v>2074.7</v>
      </c>
      <c r="P646" s="4">
        <f>IF(O646="","",IF(F646&gt;O646,"Above","Below"))</f>
        <v/>
      </c>
      <c r="Q646" s="16" t="n">
        <v>224471</v>
      </c>
      <c r="R646" s="17" t="n">
        <v>0</v>
      </c>
      <c r="S646" s="17" t="n">
        <v>0</v>
      </c>
      <c r="T646" s="17" t="n">
        <v>0</v>
      </c>
      <c r="U646" s="18" t="n">
        <v>0</v>
      </c>
    </row>
    <row r="647">
      <c r="A647" s="13" t="n">
        <v>45408</v>
      </c>
      <c r="B647" s="4">
        <f>TEXT(A647,"ddd")</f>
        <v/>
      </c>
      <c r="C647" s="14" t="n">
        <v>2344.2</v>
      </c>
      <c r="D647" s="14" t="n">
        <v>2364.4</v>
      </c>
      <c r="E647" s="14" t="n">
        <v>2338</v>
      </c>
      <c r="F647" s="14" t="n">
        <v>2347.2</v>
      </c>
      <c r="G647" s="9">
        <f>F647-F646</f>
        <v/>
      </c>
      <c r="H647" s="10">
        <f>IF(F646=0,0,G647/F646)</f>
        <v/>
      </c>
      <c r="I647" s="8">
        <f>D647-E647</f>
        <v/>
      </c>
      <c r="J647" s="4">
        <f>IF(F647&gt;C647,"Up",IF(F647&lt;C647,"Down","Flat"))</f>
        <v/>
      </c>
      <c r="K647" s="14" t="n">
        <v>41.87</v>
      </c>
      <c r="L647" s="15" t="n">
        <v>59.58</v>
      </c>
      <c r="M647" s="14" t="n">
        <v>2330.98</v>
      </c>
      <c r="N647" s="14" t="n">
        <v>2244.08</v>
      </c>
      <c r="O647" s="14" t="n">
        <v>2077.42</v>
      </c>
      <c r="P647" s="4">
        <f>IF(O647="","",IF(F647&gt;O647,"Above","Below"))</f>
        <v/>
      </c>
      <c r="Q647" s="16" t="n">
        <v>171011</v>
      </c>
      <c r="R647" s="17" t="n">
        <v>0</v>
      </c>
      <c r="S647" s="17" t="n">
        <v>0</v>
      </c>
      <c r="T647" s="17" t="n">
        <v>0</v>
      </c>
      <c r="U647" s="18" t="n">
        <v>0</v>
      </c>
    </row>
    <row r="648">
      <c r="A648" s="13" t="n">
        <v>45411</v>
      </c>
      <c r="B648" s="4">
        <f>TEXT(A648,"ddd")</f>
        <v/>
      </c>
      <c r="C648" s="14" t="n">
        <v>2347.6</v>
      </c>
      <c r="D648" s="14" t="n">
        <v>2358.9</v>
      </c>
      <c r="E648" s="14" t="n">
        <v>2331</v>
      </c>
      <c r="F648" s="14" t="n">
        <v>2357.7</v>
      </c>
      <c r="G648" s="9">
        <f>F648-F647</f>
        <v/>
      </c>
      <c r="H648" s="10">
        <f>IF(F647=0,0,G648/F647)</f>
        <v/>
      </c>
      <c r="I648" s="8">
        <f>D648-E648</f>
        <v/>
      </c>
      <c r="J648" s="4">
        <f>IF(F648&gt;C648,"Up",IF(F648&lt;C648,"Down","Flat"))</f>
        <v/>
      </c>
      <c r="K648" s="14" t="n">
        <v>40.87</v>
      </c>
      <c r="L648" s="15" t="n">
        <v>61.58</v>
      </c>
      <c r="M648" s="14" t="n">
        <v>2333.52</v>
      </c>
      <c r="N648" s="14" t="n">
        <v>2248.54</v>
      </c>
      <c r="O648" s="14" t="n">
        <v>2080.21</v>
      </c>
      <c r="P648" s="4">
        <f>IF(O648="","",IF(F648&gt;O648,"Above","Below"))</f>
        <v/>
      </c>
      <c r="Q648" s="16" t="n">
        <v>187309</v>
      </c>
      <c r="R648" s="17" t="n">
        <v>0</v>
      </c>
      <c r="S648" s="17" t="n">
        <v>0</v>
      </c>
      <c r="T648" s="17" t="n">
        <v>0</v>
      </c>
      <c r="U648" s="18" t="n">
        <v>0</v>
      </c>
    </row>
    <row r="649">
      <c r="A649" s="13" t="n">
        <v>45412</v>
      </c>
      <c r="B649" s="4">
        <f>TEXT(A649,"ddd")</f>
        <v/>
      </c>
      <c r="C649" s="14" t="n">
        <v>2347</v>
      </c>
      <c r="D649" s="14" t="n">
        <v>2347.6</v>
      </c>
      <c r="E649" s="14" t="n">
        <v>2296.2</v>
      </c>
      <c r="F649" s="14" t="n">
        <v>2302.9</v>
      </c>
      <c r="G649" s="9">
        <f>F649-F648</f>
        <v/>
      </c>
      <c r="H649" s="10">
        <f>IF(F648=0,0,G649/F648)</f>
        <v/>
      </c>
      <c r="I649" s="8">
        <f>D649-E649</f>
        <v/>
      </c>
      <c r="J649" s="4">
        <f>IF(F649&gt;C649,"Up",IF(F649&lt;C649,"Down","Flat"))</f>
        <v/>
      </c>
      <c r="K649" s="14" t="n">
        <v>42.35</v>
      </c>
      <c r="L649" s="15" t="n">
        <v>48.21</v>
      </c>
      <c r="M649" s="14" t="n">
        <v>2330.61</v>
      </c>
      <c r="N649" s="14" t="n">
        <v>2250.67</v>
      </c>
      <c r="O649" s="14" t="n">
        <v>2082.42</v>
      </c>
      <c r="P649" s="4">
        <f>IF(O649="","",IF(F649&gt;O649,"Above","Below"))</f>
        <v/>
      </c>
      <c r="Q649" s="16" t="n">
        <v>229064</v>
      </c>
      <c r="R649" s="17" t="n">
        <v>0</v>
      </c>
      <c r="S649" s="17" t="n">
        <v>0</v>
      </c>
      <c r="T649" s="17" t="n">
        <v>0</v>
      </c>
      <c r="U649" s="18" t="n">
        <v>0</v>
      </c>
    </row>
    <row r="650">
      <c r="A650" s="13" t="n">
        <v>45413</v>
      </c>
      <c r="B650" s="4">
        <f>TEXT(A650,"ddd")</f>
        <v/>
      </c>
      <c r="C650" s="14" t="n">
        <v>2298.2</v>
      </c>
      <c r="D650" s="14" t="n">
        <v>2339.5</v>
      </c>
      <c r="E650" s="14" t="n">
        <v>2291.7</v>
      </c>
      <c r="F650" s="14" t="n">
        <v>2311</v>
      </c>
      <c r="G650" s="9">
        <f>F650-F649</f>
        <v/>
      </c>
      <c r="H650" s="10">
        <f>IF(F649=0,0,G650/F649)</f>
        <v/>
      </c>
      <c r="I650" s="8">
        <f>D650-E650</f>
        <v/>
      </c>
      <c r="J650" s="4">
        <f>IF(F650&gt;C650,"Up",IF(F650&lt;C650,"Down","Flat"))</f>
        <v/>
      </c>
      <c r="K650" s="14" t="n">
        <v>42.74</v>
      </c>
      <c r="L650" s="15" t="n">
        <v>49.94</v>
      </c>
      <c r="M650" s="14" t="n">
        <v>2328.74</v>
      </c>
      <c r="N650" s="14" t="n">
        <v>2253.04</v>
      </c>
      <c r="O650" s="14" t="n">
        <v>2084.7</v>
      </c>
      <c r="P650" s="4">
        <f>IF(O650="","",IF(F650&gt;O650,"Above","Below"))</f>
        <v/>
      </c>
      <c r="Q650" s="16" t="n">
        <v>227384</v>
      </c>
      <c r="R650" s="17" t="n">
        <v>0</v>
      </c>
      <c r="S650" s="17" t="n">
        <v>0</v>
      </c>
      <c r="T650" s="17" t="n">
        <v>0</v>
      </c>
      <c r="U650" s="18" t="n">
        <v>0</v>
      </c>
    </row>
    <row r="651">
      <c r="A651" s="13" t="n">
        <v>45414</v>
      </c>
      <c r="B651" s="4">
        <f>TEXT(A651,"ddd")</f>
        <v/>
      </c>
      <c r="C651" s="14" t="n">
        <v>2329.9</v>
      </c>
      <c r="D651" s="14" t="n">
        <v>2336.1</v>
      </c>
      <c r="E651" s="14" t="n">
        <v>2294.3</v>
      </c>
      <c r="F651" s="14" t="n">
        <v>2309.6</v>
      </c>
      <c r="G651" s="9">
        <f>F651-F650</f>
        <v/>
      </c>
      <c r="H651" s="10">
        <f>IF(F650=0,0,G651/F650)</f>
        <v/>
      </c>
      <c r="I651" s="8">
        <f>D651-E651</f>
        <v/>
      </c>
      <c r="J651" s="4">
        <f>IF(F651&gt;C651,"Up",IF(F651&lt;C651,"Down","Flat"))</f>
        <v/>
      </c>
      <c r="K651" s="14" t="n">
        <v>42.67</v>
      </c>
      <c r="L651" s="15" t="n">
        <v>49.63</v>
      </c>
      <c r="M651" s="14" t="n">
        <v>2326.92</v>
      </c>
      <c r="N651" s="14" t="n">
        <v>2255.26</v>
      </c>
      <c r="O651" s="14" t="n">
        <v>2086.93</v>
      </c>
      <c r="P651" s="4">
        <f>IF(O651="","",IF(F651&gt;O651,"Above","Below"))</f>
        <v/>
      </c>
      <c r="Q651" s="16" t="n">
        <v>193658</v>
      </c>
      <c r="R651" s="17" t="n">
        <v>0</v>
      </c>
      <c r="S651" s="17" t="n">
        <v>0</v>
      </c>
      <c r="T651" s="17" t="n">
        <v>0</v>
      </c>
      <c r="U651" s="18" t="n">
        <v>0</v>
      </c>
    </row>
    <row r="652">
      <c r="A652" s="13" t="n">
        <v>45415</v>
      </c>
      <c r="B652" s="4">
        <f>TEXT(A652,"ddd")</f>
        <v/>
      </c>
      <c r="C652" s="14" t="n">
        <v>2313.5</v>
      </c>
      <c r="D652" s="14" t="n">
        <v>2330.7</v>
      </c>
      <c r="E652" s="14" t="n">
        <v>2285.2</v>
      </c>
      <c r="F652" s="14" t="n">
        <v>2308.6</v>
      </c>
      <c r="G652" s="9">
        <f>F652-F651</f>
        <v/>
      </c>
      <c r="H652" s="10">
        <f>IF(F651=0,0,G652/F651)</f>
        <v/>
      </c>
      <c r="I652" s="8">
        <f>D652-E652</f>
        <v/>
      </c>
      <c r="J652" s="4">
        <f>IF(F652&gt;C652,"Up",IF(F652&lt;C652,"Down","Flat"))</f>
        <v/>
      </c>
      <c r="K652" s="14" t="n">
        <v>42.87</v>
      </c>
      <c r="L652" s="15" t="n">
        <v>49.4</v>
      </c>
      <c r="M652" s="14" t="n">
        <v>2325.17</v>
      </c>
      <c r="N652" s="14" t="n">
        <v>2257.35</v>
      </c>
      <c r="O652" s="14" t="n">
        <v>2089.14</v>
      </c>
      <c r="P652" s="4">
        <f>IF(O652="","",IF(F652&gt;O652,"Above","Below"))</f>
        <v/>
      </c>
      <c r="Q652" s="16" t="n">
        <v>231400</v>
      </c>
      <c r="R652" s="17" t="n">
        <v>0</v>
      </c>
      <c r="S652" s="17" t="n">
        <v>0</v>
      </c>
      <c r="T652" s="17" t="n">
        <v>0</v>
      </c>
      <c r="U652" s="18" t="n">
        <v>0</v>
      </c>
    </row>
    <row r="653">
      <c r="A653" s="13" t="n">
        <v>45418</v>
      </c>
      <c r="B653" s="4">
        <f>TEXT(A653,"ddd")</f>
        <v/>
      </c>
      <c r="C653" s="14" t="n">
        <v>2312.8</v>
      </c>
      <c r="D653" s="14" t="n">
        <v>2341.9</v>
      </c>
      <c r="E653" s="14" t="n">
        <v>2300.6</v>
      </c>
      <c r="F653" s="14" t="n">
        <v>2331.2</v>
      </c>
      <c r="G653" s="9">
        <f>F653-F652</f>
        <v/>
      </c>
      <c r="H653" s="10">
        <f>IF(F652=0,0,G653/F652)</f>
        <v/>
      </c>
      <c r="I653" s="8">
        <f>D653-E653</f>
        <v/>
      </c>
      <c r="J653" s="4">
        <f>IF(F653&gt;C653,"Up",IF(F653&lt;C653,"Down","Flat"))</f>
        <v/>
      </c>
      <c r="K653" s="14" t="n">
        <v>42.76</v>
      </c>
      <c r="L653" s="15" t="n">
        <v>54.62</v>
      </c>
      <c r="M653" s="14" t="n">
        <v>2325.75</v>
      </c>
      <c r="N653" s="14" t="n">
        <v>2260.24</v>
      </c>
      <c r="O653" s="14" t="n">
        <v>2091.55</v>
      </c>
      <c r="P653" s="4">
        <f>IF(O653="","",IF(F653&gt;O653,"Above","Below"))</f>
        <v/>
      </c>
      <c r="Q653" s="16" t="n">
        <v>191895</v>
      </c>
      <c r="R653" s="17" t="n">
        <v>0</v>
      </c>
      <c r="S653" s="17" t="n">
        <v>0</v>
      </c>
      <c r="T653" s="17" t="n">
        <v>0</v>
      </c>
      <c r="U653" s="18" t="n">
        <v>0</v>
      </c>
    </row>
    <row r="654">
      <c r="A654" s="13" t="n">
        <v>45419</v>
      </c>
      <c r="B654" s="4">
        <f>TEXT(A654,"ddd")</f>
        <v/>
      </c>
      <c r="C654" s="14" t="n">
        <v>2334.8</v>
      </c>
      <c r="D654" s="14" t="n">
        <v>2338.7</v>
      </c>
      <c r="E654" s="14" t="n">
        <v>2318.2</v>
      </c>
      <c r="F654" s="14" t="n">
        <v>2324.2</v>
      </c>
      <c r="G654" s="9">
        <f>F654-F653</f>
        <v/>
      </c>
      <c r="H654" s="10">
        <f>IF(F653=0,0,G654/F653)</f>
        <v/>
      </c>
      <c r="I654" s="8">
        <f>D654-E654</f>
        <v/>
      </c>
      <c r="J654" s="4">
        <f>IF(F654&gt;C654,"Up",IF(F654&lt;C654,"Down","Flat"))</f>
        <v/>
      </c>
      <c r="K654" s="14" t="n">
        <v>41.17</v>
      </c>
      <c r="L654" s="15" t="n">
        <v>52.8</v>
      </c>
      <c r="M654" s="14" t="n">
        <v>2325.6</v>
      </c>
      <c r="N654" s="14" t="n">
        <v>2262.75</v>
      </c>
      <c r="O654" s="14" t="n">
        <v>2093.86</v>
      </c>
      <c r="P654" s="4">
        <f>IF(O654="","",IF(F654&gt;O654,"Above","Below"))</f>
        <v/>
      </c>
      <c r="Q654" s="16" t="n">
        <v>204623</v>
      </c>
      <c r="R654" s="17" t="n">
        <v>0</v>
      </c>
      <c r="S654" s="17" t="n">
        <v>0</v>
      </c>
      <c r="T654" s="17" t="n">
        <v>0</v>
      </c>
      <c r="U654" s="18" t="n">
        <v>0</v>
      </c>
    </row>
    <row r="655">
      <c r="A655" s="13" t="n">
        <v>45420</v>
      </c>
      <c r="B655" s="4">
        <f>TEXT(A655,"ddd")</f>
        <v/>
      </c>
      <c r="C655" s="14" t="n">
        <v>2322</v>
      </c>
      <c r="D655" s="14" t="n">
        <v>2329.6</v>
      </c>
      <c r="E655" s="14" t="n">
        <v>2311.4</v>
      </c>
      <c r="F655" s="14" t="n">
        <v>2322.3</v>
      </c>
      <c r="G655" s="9">
        <f>F655-F654</f>
        <v/>
      </c>
      <c r="H655" s="10">
        <f>IF(F654=0,0,G655/F654)</f>
        <v/>
      </c>
      <c r="I655" s="8">
        <f>D655-E655</f>
        <v/>
      </c>
      <c r="J655" s="4">
        <f>IF(F655&gt;C655,"Up",IF(F655&lt;C655,"Down","Flat"))</f>
        <v/>
      </c>
      <c r="K655" s="14" t="n">
        <v>39.53</v>
      </c>
      <c r="L655" s="15" t="n">
        <v>52.29</v>
      </c>
      <c r="M655" s="14" t="n">
        <v>2325.28</v>
      </c>
      <c r="N655" s="14" t="n">
        <v>2265.09</v>
      </c>
      <c r="O655" s="14" t="n">
        <v>2096.14</v>
      </c>
      <c r="P655" s="4">
        <f>IF(O655="","",IF(F655&gt;O655,"Above","Below"))</f>
        <v/>
      </c>
      <c r="Q655" s="16" t="n">
        <v>214693</v>
      </c>
      <c r="R655" s="17" t="n">
        <v>0</v>
      </c>
      <c r="S655" s="17" t="n">
        <v>0</v>
      </c>
      <c r="T655" s="17" t="n">
        <v>0</v>
      </c>
      <c r="U655" s="18" t="n">
        <v>0</v>
      </c>
    </row>
    <row r="656">
      <c r="A656" s="13" t="n">
        <v>45421</v>
      </c>
      <c r="B656" s="4">
        <f>TEXT(A656,"ddd")</f>
        <v/>
      </c>
      <c r="C656" s="14" t="n">
        <v>2316.5</v>
      </c>
      <c r="D656" s="14" t="n">
        <v>2354.2</v>
      </c>
      <c r="E656" s="14" t="n">
        <v>2312.9</v>
      </c>
      <c r="F656" s="14" t="n">
        <v>2340.3</v>
      </c>
      <c r="G656" s="9">
        <f>F656-F655</f>
        <v/>
      </c>
      <c r="H656" s="10">
        <f>IF(F655=0,0,G656/F655)</f>
        <v/>
      </c>
      <c r="I656" s="8">
        <f>D656-E656</f>
        <v/>
      </c>
      <c r="J656" s="4">
        <f>IF(F656&gt;C656,"Up",IF(F656&lt;C656,"Down","Flat"))</f>
        <v/>
      </c>
      <c r="K656" s="14" t="n">
        <v>39.65</v>
      </c>
      <c r="L656" s="15" t="n">
        <v>56.57</v>
      </c>
      <c r="M656" s="14" t="n">
        <v>2326.71</v>
      </c>
      <c r="N656" s="14" t="n">
        <v>2268.04</v>
      </c>
      <c r="O656" s="14" t="n">
        <v>2098.56</v>
      </c>
      <c r="P656" s="4">
        <f>IF(O656="","",IF(F656&gt;O656,"Above","Below"))</f>
        <v/>
      </c>
      <c r="Q656" s="16" t="n">
        <v>249092</v>
      </c>
      <c r="R656" s="17" t="n">
        <v>0</v>
      </c>
      <c r="S656" s="17" t="n">
        <v>0</v>
      </c>
      <c r="T656" s="17" t="n">
        <v>0</v>
      </c>
      <c r="U656" s="18" t="n">
        <v>0</v>
      </c>
    </row>
    <row r="657">
      <c r="A657" s="13" t="n">
        <v>45422</v>
      </c>
      <c r="B657" s="4">
        <f>TEXT(A657,"ddd")</f>
        <v/>
      </c>
      <c r="C657" s="14" t="n">
        <v>2353.5</v>
      </c>
      <c r="D657" s="14" t="n">
        <v>2385.3</v>
      </c>
      <c r="E657" s="14" t="n">
        <v>2352</v>
      </c>
      <c r="F657" s="14" t="n">
        <v>2375</v>
      </c>
      <c r="G657" s="9">
        <f>F657-F656</f>
        <v/>
      </c>
      <c r="H657" s="10">
        <f>IF(F656=0,0,G657/F656)</f>
        <v/>
      </c>
      <c r="I657" s="8">
        <f>D657-E657</f>
        <v/>
      </c>
      <c r="J657" s="4">
        <f>IF(F657&gt;C657,"Up",IF(F657&lt;C657,"Down","Flat"))</f>
        <v/>
      </c>
      <c r="K657" s="14" t="n">
        <v>40.04</v>
      </c>
      <c r="L657" s="15" t="n">
        <v>63.37</v>
      </c>
      <c r="M657" s="14" t="n">
        <v>2331.31</v>
      </c>
      <c r="N657" s="14" t="n">
        <v>2272.23</v>
      </c>
      <c r="O657" s="14" t="n">
        <v>2101.32</v>
      </c>
      <c r="P657" s="4">
        <f>IF(O657="","",IF(F657&gt;O657,"Above","Below"))</f>
        <v/>
      </c>
      <c r="Q657" s="16" t="n">
        <v>275241</v>
      </c>
      <c r="R657" s="17" t="n">
        <v>0</v>
      </c>
      <c r="S657" s="17" t="n">
        <v>0</v>
      </c>
      <c r="T657" s="17" t="n">
        <v>0</v>
      </c>
      <c r="U657" s="18" t="n">
        <v>0</v>
      </c>
    </row>
    <row r="658">
      <c r="A658" s="13" t="n">
        <v>45425</v>
      </c>
      <c r="B658" s="4">
        <f>TEXT(A658,"ddd")</f>
        <v/>
      </c>
      <c r="C658" s="14" t="n">
        <v>2369.1</v>
      </c>
      <c r="D658" s="14" t="n">
        <v>2370.8</v>
      </c>
      <c r="E658" s="14" t="n">
        <v>2337.6</v>
      </c>
      <c r="F658" s="14" t="n">
        <v>2343</v>
      </c>
      <c r="G658" s="9">
        <f>F658-F657</f>
        <v/>
      </c>
      <c r="H658" s="10">
        <f>IF(F657=0,0,G658/F657)</f>
        <v/>
      </c>
      <c r="I658" s="8">
        <f>D658-E658</f>
        <v/>
      </c>
      <c r="J658" s="4">
        <f>IF(F658&gt;C658,"Up",IF(F658&lt;C658,"Down","Flat"))</f>
        <v/>
      </c>
      <c r="K658" s="14" t="n">
        <v>39.85</v>
      </c>
      <c r="L658" s="15" t="n">
        <v>54.84</v>
      </c>
      <c r="M658" s="14" t="n">
        <v>2332.43</v>
      </c>
      <c r="N658" s="14" t="n">
        <v>2275.01</v>
      </c>
      <c r="O658" s="14" t="n">
        <v>2103.72</v>
      </c>
      <c r="P658" s="4">
        <f>IF(O658="","",IF(F658&gt;O658,"Above","Below"))</f>
        <v/>
      </c>
      <c r="Q658" s="16" t="n">
        <v>243075</v>
      </c>
      <c r="R658" s="17" t="n">
        <v>0</v>
      </c>
      <c r="S658" s="17" t="n">
        <v>0</v>
      </c>
      <c r="T658" s="17" t="n">
        <v>0</v>
      </c>
      <c r="U658" s="18" t="n">
        <v>0</v>
      </c>
    </row>
    <row r="659">
      <c r="A659" s="13" t="n">
        <v>45426</v>
      </c>
      <c r="B659" s="4">
        <f>TEXT(A659,"ddd")</f>
        <v/>
      </c>
      <c r="C659" s="14" t="n">
        <v>2342.3</v>
      </c>
      <c r="D659" s="14" t="n">
        <v>2365.2</v>
      </c>
      <c r="E659" s="14" t="n">
        <v>2340.5</v>
      </c>
      <c r="F659" s="14" t="n">
        <v>2359.9</v>
      </c>
      <c r="G659" s="9">
        <f>F659-F658</f>
        <v/>
      </c>
      <c r="H659" s="10">
        <f>IF(F658=0,0,G659/F658)</f>
        <v/>
      </c>
      <c r="I659" s="8">
        <f>D659-E659</f>
        <v/>
      </c>
      <c r="J659" s="4">
        <f>IF(F659&gt;C659,"Up",IF(F659&lt;C659,"Down","Flat"))</f>
        <v/>
      </c>
      <c r="K659" s="14" t="n">
        <v>38.77</v>
      </c>
      <c r="L659" s="15" t="n">
        <v>58.05</v>
      </c>
      <c r="M659" s="14" t="n">
        <v>2335.04</v>
      </c>
      <c r="N659" s="14" t="n">
        <v>2278.34</v>
      </c>
      <c r="O659" s="14" t="n">
        <v>2106.27</v>
      </c>
      <c r="P659" s="4">
        <f>IF(O659="","",IF(F659&gt;O659,"Above","Below"))</f>
        <v/>
      </c>
      <c r="Q659" s="16" t="n">
        <v>192076</v>
      </c>
      <c r="R659" s="17" t="n">
        <v>0</v>
      </c>
      <c r="S659" s="17" t="n">
        <v>0</v>
      </c>
      <c r="T659" s="17" t="n">
        <v>0</v>
      </c>
      <c r="U659" s="18" t="n">
        <v>0</v>
      </c>
    </row>
    <row r="660">
      <c r="A660" s="13" t="n">
        <v>45427</v>
      </c>
      <c r="B660" s="4">
        <f>TEXT(A660,"ddd")</f>
        <v/>
      </c>
      <c r="C660" s="14" t="n">
        <v>2362.9</v>
      </c>
      <c r="D660" s="14" t="n">
        <v>2396.1</v>
      </c>
      <c r="E660" s="14" t="n">
        <v>2357.1</v>
      </c>
      <c r="F660" s="14" t="n">
        <v>2394.9</v>
      </c>
      <c r="G660" s="9">
        <f>F660-F659</f>
        <v/>
      </c>
      <c r="H660" s="10">
        <f>IF(F659=0,0,G660/F659)</f>
        <v/>
      </c>
      <c r="I660" s="8">
        <f>D660-E660</f>
        <v/>
      </c>
      <c r="J660" s="4">
        <f>IF(F660&gt;C660,"Up",IF(F660&lt;C660,"Down","Flat"))</f>
        <v/>
      </c>
      <c r="K660" s="14" t="n">
        <v>38.78</v>
      </c>
      <c r="L660" s="15" t="n">
        <v>63.8</v>
      </c>
      <c r="M660" s="14" t="n">
        <v>2340.74</v>
      </c>
      <c r="N660" s="14" t="n">
        <v>2282.91</v>
      </c>
      <c r="O660" s="14" t="n">
        <v>2109.14</v>
      </c>
      <c r="P660" s="4">
        <f>IF(O660="","",IF(F660&gt;O660,"Above","Below"))</f>
        <v/>
      </c>
      <c r="Q660" s="16" t="n">
        <v>249843</v>
      </c>
      <c r="R660" s="17" t="n">
        <v>0</v>
      </c>
      <c r="S660" s="17" t="n">
        <v>0</v>
      </c>
      <c r="T660" s="17" t="n">
        <v>0</v>
      </c>
      <c r="U660" s="18" t="n">
        <v>0</v>
      </c>
    </row>
    <row r="661">
      <c r="A661" s="13" t="n">
        <v>45428</v>
      </c>
      <c r="B661" s="4">
        <f>TEXT(A661,"ddd")</f>
        <v/>
      </c>
      <c r="C661" s="14" t="n">
        <v>2391.5</v>
      </c>
      <c r="D661" s="14" t="n">
        <v>2402.7</v>
      </c>
      <c r="E661" s="14" t="n">
        <v>2375.2</v>
      </c>
      <c r="F661" s="14" t="n">
        <v>2385.5</v>
      </c>
      <c r="G661" s="9">
        <f>F661-F660</f>
        <v/>
      </c>
      <c r="H661" s="10">
        <f>IF(F660=0,0,G661/F660)</f>
        <v/>
      </c>
      <c r="I661" s="8">
        <f>D661-E661</f>
        <v/>
      </c>
      <c r="J661" s="4">
        <f>IF(F661&gt;C661,"Up",IF(F661&lt;C661,"Down","Flat"))</f>
        <v/>
      </c>
      <c r="K661" s="14" t="n">
        <v>37.98</v>
      </c>
      <c r="L661" s="15" t="n">
        <v>61.37</v>
      </c>
      <c r="M661" s="14" t="n">
        <v>2345.01</v>
      </c>
      <c r="N661" s="14" t="n">
        <v>2286.93</v>
      </c>
      <c r="O661" s="14" t="n">
        <v>2111.89</v>
      </c>
      <c r="P661" s="4">
        <f>IF(O661="","",IF(F661&gt;O661,"Above","Below"))</f>
        <v/>
      </c>
      <c r="Q661" s="16" t="n">
        <v>191026</v>
      </c>
      <c r="R661" s="17" t="n">
        <v>0</v>
      </c>
      <c r="S661" s="17" t="n">
        <v>0</v>
      </c>
      <c r="T661" s="17" t="n">
        <v>0</v>
      </c>
      <c r="U661" s="18" t="n">
        <v>0</v>
      </c>
    </row>
    <row r="662">
      <c r="A662" s="13" t="n">
        <v>45429</v>
      </c>
      <c r="B662" s="4">
        <f>TEXT(A662,"ddd")</f>
        <v/>
      </c>
      <c r="C662" s="14" t="n">
        <v>2381.4</v>
      </c>
      <c r="D662" s="14" t="n">
        <v>2427.4</v>
      </c>
      <c r="E662" s="14" t="n">
        <v>2377.8</v>
      </c>
      <c r="F662" s="14" t="n">
        <v>2417.4</v>
      </c>
      <c r="G662" s="9">
        <f>F662-F661</f>
        <v/>
      </c>
      <c r="H662" s="10">
        <f>IF(F661=0,0,G662/F661)</f>
        <v/>
      </c>
      <c r="I662" s="8">
        <f>D662-E662</f>
        <v/>
      </c>
      <c r="J662" s="4">
        <f>IF(F662&gt;C662,"Up",IF(F662&lt;C662,"Down","Flat"))</f>
        <v/>
      </c>
      <c r="K662" s="14" t="n">
        <v>38.81</v>
      </c>
      <c r="L662" s="15" t="n">
        <v>66.09</v>
      </c>
      <c r="M662" s="14" t="n">
        <v>2351.9</v>
      </c>
      <c r="N662" s="14" t="n">
        <v>2292.05</v>
      </c>
      <c r="O662" s="14" t="n">
        <v>2114.93</v>
      </c>
      <c r="P662" s="4">
        <f>IF(O662="","",IF(F662&gt;O662,"Above","Below"))</f>
        <v/>
      </c>
      <c r="Q662" s="16" t="n">
        <v>218553</v>
      </c>
      <c r="R662" s="17" t="n">
        <v>0</v>
      </c>
      <c r="S662" s="17" t="n">
        <v>0</v>
      </c>
      <c r="T662" s="17" t="n">
        <v>0</v>
      </c>
      <c r="U662" s="18" t="n">
        <v>0</v>
      </c>
    </row>
    <row r="663">
      <c r="A663" s="13" t="n">
        <v>45432</v>
      </c>
      <c r="B663" s="4">
        <f>TEXT(A663,"ddd")</f>
        <v/>
      </c>
      <c r="C663" s="14" t="n">
        <v>2422.2</v>
      </c>
      <c r="D663" s="14" t="n">
        <v>2454.2</v>
      </c>
      <c r="E663" s="14" t="n">
        <v>2411.1</v>
      </c>
      <c r="F663" s="14" t="n">
        <v>2438.5</v>
      </c>
      <c r="G663" s="9">
        <f>F663-F662</f>
        <v/>
      </c>
      <c r="H663" s="10">
        <f>IF(F662=0,0,G663/F662)</f>
        <v/>
      </c>
      <c r="I663" s="8">
        <f>D663-E663</f>
        <v/>
      </c>
      <c r="J663" s="4">
        <f>IF(F663&gt;C663,"Up",IF(F663&lt;C663,"Down","Flat"))</f>
        <v/>
      </c>
      <c r="K663" s="14" t="n">
        <v>39.11</v>
      </c>
      <c r="L663" s="15" t="n">
        <v>68.8</v>
      </c>
      <c r="M663" s="14" t="n">
        <v>2360.15</v>
      </c>
      <c r="N663" s="14" t="n">
        <v>2297.79</v>
      </c>
      <c r="O663" s="14" t="n">
        <v>2118.15</v>
      </c>
      <c r="P663" s="4">
        <f>IF(O663="","",IF(F663&gt;O663,"Above","Below"))</f>
        <v/>
      </c>
      <c r="Q663" s="16" t="n">
        <v>281430</v>
      </c>
      <c r="R663" s="17" t="n">
        <v>0</v>
      </c>
      <c r="S663" s="17" t="n">
        <v>0</v>
      </c>
      <c r="T663" s="17" t="n">
        <v>0</v>
      </c>
      <c r="U663" s="18" t="n">
        <v>0</v>
      </c>
    </row>
    <row r="664">
      <c r="A664" s="13" t="n">
        <v>45433</v>
      </c>
      <c r="B664" s="4">
        <f>TEXT(A664,"ddd")</f>
        <v/>
      </c>
      <c r="C664" s="14" t="n">
        <v>2431.5</v>
      </c>
      <c r="D664" s="14" t="n">
        <v>2438.2</v>
      </c>
      <c r="E664" s="14" t="n">
        <v>2408.5</v>
      </c>
      <c r="F664" s="14" t="n">
        <v>2425.9</v>
      </c>
      <c r="G664" s="9">
        <f>F664-F663</f>
        <v/>
      </c>
      <c r="H664" s="10">
        <f>IF(F663=0,0,G664/F663)</f>
        <v/>
      </c>
      <c r="I664" s="8">
        <f>D664-E664</f>
        <v/>
      </c>
      <c r="J664" s="4">
        <f>IF(F664&gt;C664,"Up",IF(F664&lt;C664,"Down","Flat"))</f>
        <v/>
      </c>
      <c r="K664" s="14" t="n">
        <v>38.46</v>
      </c>
      <c r="L664" s="15" t="n">
        <v>65.43000000000001</v>
      </c>
      <c r="M664" s="14" t="n">
        <v>2366.41</v>
      </c>
      <c r="N664" s="14" t="n">
        <v>2302.81</v>
      </c>
      <c r="O664" s="14" t="n">
        <v>2121.21</v>
      </c>
      <c r="P664" s="4">
        <f>IF(O664="","",IF(F664&gt;O664,"Above","Below"))</f>
        <v/>
      </c>
      <c r="Q664" s="16" t="n">
        <v>229421</v>
      </c>
      <c r="R664" s="17" t="n">
        <v>0</v>
      </c>
      <c r="S664" s="17" t="n">
        <v>0</v>
      </c>
      <c r="T664" s="17" t="n">
        <v>0</v>
      </c>
      <c r="U664" s="18" t="n">
        <v>0</v>
      </c>
    </row>
    <row r="665">
      <c r="A665" s="13" t="n">
        <v>45434</v>
      </c>
      <c r="B665" s="4">
        <f>TEXT(A665,"ddd")</f>
        <v/>
      </c>
      <c r="C665" s="14" t="n">
        <v>2425.4</v>
      </c>
      <c r="D665" s="14" t="n">
        <v>2430.5</v>
      </c>
      <c r="E665" s="14" t="n">
        <v>2378</v>
      </c>
      <c r="F665" s="14" t="n">
        <v>2392.9</v>
      </c>
      <c r="G665" s="9">
        <f>F665-F664</f>
        <v/>
      </c>
      <c r="H665" s="10">
        <f>IF(F664=0,0,G665/F664)</f>
        <v/>
      </c>
      <c r="I665" s="8">
        <f>D665-E665</f>
        <v/>
      </c>
      <c r="J665" s="4">
        <f>IF(F665&gt;C665,"Up",IF(F665&lt;C665,"Down","Flat"))</f>
        <v/>
      </c>
      <c r="K665" s="14" t="n">
        <v>39.47</v>
      </c>
      <c r="L665" s="15" t="n">
        <v>57.49</v>
      </c>
      <c r="M665" s="14" t="n">
        <v>2368.93</v>
      </c>
      <c r="N665" s="14" t="n">
        <v>2306.35</v>
      </c>
      <c r="O665" s="14" t="n">
        <v>2123.92</v>
      </c>
      <c r="P665" s="4">
        <f>IF(O665="","",IF(F665&gt;O665,"Above","Below"))</f>
        <v/>
      </c>
      <c r="Q665" s="16" t="n">
        <v>253852</v>
      </c>
      <c r="R665" s="17" t="n">
        <v>0</v>
      </c>
      <c r="S665" s="17" t="n">
        <v>0</v>
      </c>
      <c r="T665" s="17" t="n">
        <v>0</v>
      </c>
      <c r="U665" s="18" t="n">
        <v>0</v>
      </c>
    </row>
    <row r="666">
      <c r="A666" s="13" t="n">
        <v>45435</v>
      </c>
      <c r="B666" s="4">
        <f>TEXT(A666,"ddd")</f>
        <v/>
      </c>
      <c r="C666" s="14" t="n">
        <v>2383</v>
      </c>
      <c r="D666" s="14" t="n">
        <v>2385.7</v>
      </c>
      <c r="E666" s="14" t="n">
        <v>2328.1</v>
      </c>
      <c r="F666" s="14" t="n">
        <v>2337.2</v>
      </c>
      <c r="G666" s="9">
        <f>F666-F665</f>
        <v/>
      </c>
      <c r="H666" s="10">
        <f>IF(F665=0,0,G666/F665)</f>
        <v/>
      </c>
      <c r="I666" s="8">
        <f>D666-E666</f>
        <v/>
      </c>
      <c r="J666" s="4">
        <f>IF(F666&gt;C666,"Up",IF(F666&lt;C666,"Down","Flat"))</f>
        <v/>
      </c>
      <c r="K666" s="14" t="n">
        <v>41.27</v>
      </c>
      <c r="L666" s="15" t="n">
        <v>47.1</v>
      </c>
      <c r="M666" s="14" t="n">
        <v>2365.91</v>
      </c>
      <c r="N666" s="14" t="n">
        <v>2307.56</v>
      </c>
      <c r="O666" s="14" t="n">
        <v>2126.04</v>
      </c>
      <c r="P666" s="4">
        <f>IF(O666="","",IF(F666&gt;O666,"Above","Below"))</f>
        <v/>
      </c>
      <c r="Q666" s="16" t="n">
        <v>273658</v>
      </c>
      <c r="R666" s="17" t="n">
        <v>0</v>
      </c>
      <c r="S666" s="17" t="n">
        <v>0</v>
      </c>
      <c r="T666" s="17" t="n">
        <v>0</v>
      </c>
      <c r="U666" s="18" t="n">
        <v>0</v>
      </c>
    </row>
    <row r="667">
      <c r="A667" s="13" t="n">
        <v>45436</v>
      </c>
      <c r="B667" s="4">
        <f>TEXT(A667,"ddd")</f>
        <v/>
      </c>
      <c r="C667" s="14" t="n">
        <v>2330.4</v>
      </c>
      <c r="D667" s="14" t="n">
        <v>2349</v>
      </c>
      <c r="E667" s="14" t="n">
        <v>2326.3</v>
      </c>
      <c r="F667" s="14" t="n">
        <v>2334.5</v>
      </c>
      <c r="G667" s="9">
        <f>F667-F666</f>
        <v/>
      </c>
      <c r="H667" s="10">
        <f>IF(F666=0,0,G667/F666)</f>
        <v/>
      </c>
      <c r="I667" s="8">
        <f>D667-E667</f>
        <v/>
      </c>
      <c r="J667" s="4">
        <f>IF(F667&gt;C667,"Up",IF(F667&lt;C667,"Down","Flat"))</f>
        <v/>
      </c>
      <c r="K667" s="14" t="n">
        <v>39.95</v>
      </c>
      <c r="L667" s="15" t="n">
        <v>46.66</v>
      </c>
      <c r="M667" s="14" t="n">
        <v>2362.92</v>
      </c>
      <c r="N667" s="14" t="n">
        <v>2308.61</v>
      </c>
      <c r="O667" s="14" t="n">
        <v>2128.11</v>
      </c>
      <c r="P667" s="4">
        <f>IF(O667="","",IF(F667&gt;O667,"Above","Below"))</f>
        <v/>
      </c>
      <c r="Q667" s="16" t="n">
        <v>178343</v>
      </c>
      <c r="R667" s="17" t="n">
        <v>0</v>
      </c>
      <c r="S667" s="17" t="n">
        <v>0</v>
      </c>
      <c r="T667" s="17" t="n">
        <v>0</v>
      </c>
      <c r="U667" s="18" t="n">
        <v>0</v>
      </c>
    </row>
    <row r="668">
      <c r="A668" s="13" t="n">
        <v>45440</v>
      </c>
      <c r="B668" s="4">
        <f>TEXT(A668,"ddd")</f>
        <v/>
      </c>
      <c r="C668" s="14" t="n">
        <v>2338</v>
      </c>
      <c r="D668" s="14" t="n">
        <v>2365.5</v>
      </c>
      <c r="E668" s="14" t="n">
        <v>2333.8</v>
      </c>
      <c r="F668" s="14" t="n">
        <v>2356.5</v>
      </c>
      <c r="G668" s="9">
        <f>F668-F667</f>
        <v/>
      </c>
      <c r="H668" s="10">
        <f>IF(F667=0,0,G668/F667)</f>
        <v/>
      </c>
      <c r="I668" s="8">
        <f>D668-E668</f>
        <v/>
      </c>
      <c r="J668" s="4">
        <f>IF(F668&gt;C668,"Up",IF(F668&lt;C668,"Down","Flat"))</f>
        <v/>
      </c>
      <c r="K668" s="14" t="n">
        <v>39.36</v>
      </c>
      <c r="L668" s="15" t="n">
        <v>50.7</v>
      </c>
      <c r="M668" s="14" t="n">
        <v>2362.31</v>
      </c>
      <c r="N668" s="14" t="n">
        <v>2310.49</v>
      </c>
      <c r="O668" s="14" t="n">
        <v>2130.39</v>
      </c>
      <c r="P668" s="4">
        <f>IF(O668="","",IF(F668&gt;O668,"Above","Below"))</f>
        <v/>
      </c>
      <c r="Q668" s="16" t="n">
        <v>316223</v>
      </c>
      <c r="R668" s="17" t="n">
        <v>0</v>
      </c>
      <c r="S668" s="17" t="n">
        <v>0</v>
      </c>
      <c r="T668" s="17" t="n">
        <v>0</v>
      </c>
      <c r="U668" s="18" t="n">
        <v>0</v>
      </c>
    </row>
    <row r="669">
      <c r="A669" s="13" t="n">
        <v>45441</v>
      </c>
      <c r="B669" s="4">
        <f>TEXT(A669,"ddd")</f>
        <v/>
      </c>
      <c r="C669" s="14" t="n">
        <v>2362.5</v>
      </c>
      <c r="D669" s="14" t="n">
        <v>2363.7</v>
      </c>
      <c r="E669" s="14" t="n">
        <v>2334.2</v>
      </c>
      <c r="F669" s="14" t="n">
        <v>2341.2</v>
      </c>
      <c r="G669" s="9">
        <f>F669-F668</f>
        <v/>
      </c>
      <c r="H669" s="10">
        <f>IF(F668=0,0,G669/F668)</f>
        <v/>
      </c>
      <c r="I669" s="8">
        <f>D669-E669</f>
        <v/>
      </c>
      <c r="J669" s="4">
        <f>IF(F669&gt;C669,"Up",IF(F669&lt;C669,"Down","Flat"))</f>
        <v/>
      </c>
      <c r="K669" s="14" t="n">
        <v>38.65</v>
      </c>
      <c r="L669" s="15" t="n">
        <v>47.98</v>
      </c>
      <c r="M669" s="14" t="n">
        <v>2360.3</v>
      </c>
      <c r="N669" s="14" t="n">
        <v>2311.7</v>
      </c>
      <c r="O669" s="14" t="n">
        <v>2132.48</v>
      </c>
      <c r="P669" s="4">
        <f>IF(O669="","",IF(F669&gt;O669,"Above","Below"))</f>
        <v/>
      </c>
      <c r="Q669" s="16" t="n">
        <v>119317</v>
      </c>
      <c r="R669" s="17" t="n">
        <v>0</v>
      </c>
      <c r="S669" s="17" t="n">
        <v>0</v>
      </c>
      <c r="T669" s="17" t="n">
        <v>0</v>
      </c>
      <c r="U669" s="18" t="n">
        <v>0</v>
      </c>
    </row>
    <row r="670">
      <c r="A670" s="13" t="n">
        <v>45442</v>
      </c>
      <c r="B670" s="4">
        <f>TEXT(A670,"ddd")</f>
        <v/>
      </c>
      <c r="C670" s="14" t="n">
        <v>2336.9</v>
      </c>
      <c r="D670" s="14" t="n">
        <v>2349.5</v>
      </c>
      <c r="E670" s="14" t="n">
        <v>2320.8</v>
      </c>
      <c r="F670" s="14" t="n">
        <v>2342.9</v>
      </c>
      <c r="G670" s="9">
        <f>F670-F669</f>
        <v/>
      </c>
      <c r="H670" s="10">
        <f>IF(F669=0,0,G670/F669)</f>
        <v/>
      </c>
      <c r="I670" s="8">
        <f>D670-E670</f>
        <v/>
      </c>
      <c r="J670" s="4">
        <f>IF(F670&gt;C670,"Up",IF(F670&lt;C670,"Down","Flat"))</f>
        <v/>
      </c>
      <c r="K670" s="14" t="n">
        <v>37.94</v>
      </c>
      <c r="L670" s="15" t="n">
        <v>48.31</v>
      </c>
      <c r="M670" s="14" t="n">
        <v>2358.64</v>
      </c>
      <c r="N670" s="14" t="n">
        <v>2312.92</v>
      </c>
      <c r="O670" s="14" t="n">
        <v>2134.58</v>
      </c>
      <c r="P670" s="4">
        <f>IF(O670="","",IF(F670&gt;O670,"Above","Below"))</f>
        <v/>
      </c>
      <c r="Q670" s="16" t="n">
        <v>32587</v>
      </c>
      <c r="R670" s="17" t="n">
        <v>0</v>
      </c>
      <c r="S670" s="17" t="n">
        <v>0</v>
      </c>
      <c r="T670" s="17" t="n">
        <v>0</v>
      </c>
      <c r="U670" s="18" t="n">
        <v>0</v>
      </c>
    </row>
    <row r="671">
      <c r="A671" s="13" t="n">
        <v>45443</v>
      </c>
      <c r="B671" s="4">
        <f>TEXT(A671,"ddd")</f>
        <v/>
      </c>
      <c r="C671" s="14" t="n">
        <v>2344.1</v>
      </c>
      <c r="D671" s="14" t="n">
        <v>2354</v>
      </c>
      <c r="E671" s="14" t="n">
        <v>2319</v>
      </c>
      <c r="F671" s="14" t="n">
        <v>2322.9</v>
      </c>
      <c r="G671" s="9">
        <f>F671-F670</f>
        <v/>
      </c>
      <c r="H671" s="10">
        <f>IF(F670=0,0,G671/F670)</f>
        <v/>
      </c>
      <c r="I671" s="8">
        <f>D671-E671</f>
        <v/>
      </c>
      <c r="J671" s="4">
        <f>IF(F671&gt;C671,"Up",IF(F671&lt;C671,"Down","Flat"))</f>
        <v/>
      </c>
      <c r="K671" s="14" t="n">
        <v>37.73</v>
      </c>
      <c r="L671" s="15" t="n">
        <v>44.69</v>
      </c>
      <c r="M671" s="14" t="n">
        <v>2355.24</v>
      </c>
      <c r="N671" s="14" t="n">
        <v>2313.31</v>
      </c>
      <c r="O671" s="14" t="n">
        <v>2136.45</v>
      </c>
      <c r="P671" s="4">
        <f>IF(O671="","",IF(F671&gt;O671,"Above","Below"))</f>
        <v/>
      </c>
      <c r="Q671" s="16" t="n">
        <v>183406</v>
      </c>
      <c r="R671" s="17" t="n">
        <v>0</v>
      </c>
      <c r="S671" s="17" t="n">
        <v>0</v>
      </c>
      <c r="T671" s="17" t="n">
        <v>0</v>
      </c>
      <c r="U671" s="18" t="n">
        <v>0</v>
      </c>
    </row>
    <row r="672">
      <c r="A672" s="13" t="n">
        <v>45446</v>
      </c>
      <c r="B672" s="4">
        <f>TEXT(A672,"ddd")</f>
        <v/>
      </c>
      <c r="C672" s="14" t="n">
        <v>2348</v>
      </c>
      <c r="D672" s="14" t="n">
        <v>2375.5</v>
      </c>
      <c r="E672" s="14" t="n">
        <v>2334.8</v>
      </c>
      <c r="F672" s="14" t="n">
        <v>2369.3</v>
      </c>
      <c r="G672" s="9">
        <f>F672-F671</f>
        <v/>
      </c>
      <c r="H672" s="10">
        <f>IF(F671=0,0,G672/F671)</f>
        <v/>
      </c>
      <c r="I672" s="8">
        <f>D672-E672</f>
        <v/>
      </c>
      <c r="J672" s="4">
        <f>IF(F672&gt;C672,"Up",IF(F672&lt;C672,"Down","Flat"))</f>
        <v/>
      </c>
      <c r="K672" s="14" t="n">
        <v>38.8</v>
      </c>
      <c r="L672" s="15" t="n">
        <v>53.41</v>
      </c>
      <c r="M672" s="14" t="n">
        <v>2356.58</v>
      </c>
      <c r="N672" s="14" t="n">
        <v>2315.51</v>
      </c>
      <c r="O672" s="14" t="n">
        <v>2138.77</v>
      </c>
      <c r="P672" s="4">
        <f>IF(O672="","",IF(F672&gt;O672,"Above","Below"))</f>
        <v/>
      </c>
      <c r="Q672" s="16" t="n">
        <v>173149</v>
      </c>
      <c r="R672" s="17" t="n">
        <v>0</v>
      </c>
      <c r="S672" s="17" t="n">
        <v>0</v>
      </c>
      <c r="T672" s="17" t="n">
        <v>0</v>
      </c>
      <c r="U672" s="18" t="n">
        <v>0</v>
      </c>
    </row>
    <row r="673">
      <c r="A673" s="13" t="n">
        <v>45447</v>
      </c>
      <c r="B673" s="4">
        <f>TEXT(A673,"ddd")</f>
        <v/>
      </c>
      <c r="C673" s="14" t="n">
        <v>2371.3</v>
      </c>
      <c r="D673" s="14" t="n">
        <v>2373.1</v>
      </c>
      <c r="E673" s="14" t="n">
        <v>2335.1</v>
      </c>
      <c r="F673" s="14" t="n">
        <v>2347.4</v>
      </c>
      <c r="G673" s="9">
        <f>F673-F672</f>
        <v/>
      </c>
      <c r="H673" s="10">
        <f>IF(F672=0,0,G673/F672)</f>
        <v/>
      </c>
      <c r="I673" s="8">
        <f>D673-E673</f>
        <v/>
      </c>
      <c r="J673" s="4">
        <f>IF(F673&gt;C673,"Up",IF(F673&lt;C673,"Down","Flat"))</f>
        <v/>
      </c>
      <c r="K673" s="14" t="n">
        <v>38.74</v>
      </c>
      <c r="L673" s="15" t="n">
        <v>49.45</v>
      </c>
      <c r="M673" s="14" t="n">
        <v>2355.7</v>
      </c>
      <c r="N673" s="14" t="n">
        <v>2316.76</v>
      </c>
      <c r="O673" s="14" t="n">
        <v>2140.84</v>
      </c>
      <c r="P673" s="4">
        <f>IF(O673="","",IF(F673&gt;O673,"Above","Below"))</f>
        <v/>
      </c>
      <c r="Q673" s="16" t="n">
        <v>171547</v>
      </c>
      <c r="R673" s="17" t="n">
        <v>0</v>
      </c>
      <c r="S673" s="17" t="n">
        <v>0</v>
      </c>
      <c r="T673" s="17" t="n">
        <v>0</v>
      </c>
      <c r="U673" s="18" t="n">
        <v>0</v>
      </c>
    </row>
    <row r="674">
      <c r="A674" s="13" t="n">
        <v>45448</v>
      </c>
      <c r="B674" s="4">
        <f>TEXT(A674,"ddd")</f>
        <v/>
      </c>
      <c r="C674" s="14" t="n">
        <v>2347.1</v>
      </c>
      <c r="D674" s="14" t="n">
        <v>2377.6</v>
      </c>
      <c r="E674" s="14" t="n">
        <v>2345.3</v>
      </c>
      <c r="F674" s="14" t="n">
        <v>2375.5</v>
      </c>
      <c r="G674" s="9">
        <f>F674-F673</f>
        <v/>
      </c>
      <c r="H674" s="10">
        <f>IF(F673=0,0,G674/F673)</f>
        <v/>
      </c>
      <c r="I674" s="8">
        <f>D674-E674</f>
        <v/>
      </c>
      <c r="J674" s="4">
        <f>IF(F674&gt;C674,"Up",IF(F674&lt;C674,"Down","Flat"))</f>
        <v/>
      </c>
      <c r="K674" s="14" t="n">
        <v>38.28</v>
      </c>
      <c r="L674" s="15" t="n">
        <v>54.15</v>
      </c>
      <c r="M674" s="14" t="n">
        <v>2357.59</v>
      </c>
      <c r="N674" s="14" t="n">
        <v>2319.06</v>
      </c>
      <c r="O674" s="14" t="n">
        <v>2143.18</v>
      </c>
      <c r="P674" s="4">
        <f>IF(O674="","",IF(F674&gt;O674,"Above","Below"))</f>
        <v/>
      </c>
      <c r="Q674" s="16" t="n">
        <v>171862</v>
      </c>
      <c r="R674" s="17" t="n">
        <v>0</v>
      </c>
      <c r="S674" s="17" t="n">
        <v>0</v>
      </c>
      <c r="T674" s="17" t="n">
        <v>0</v>
      </c>
      <c r="U674" s="18" t="n">
        <v>0</v>
      </c>
    </row>
    <row r="675">
      <c r="A675" s="13" t="n">
        <v>45449</v>
      </c>
      <c r="B675" s="4">
        <f>TEXT(A675,"ddd")</f>
        <v/>
      </c>
      <c r="C675" s="14" t="n">
        <v>2375.3</v>
      </c>
      <c r="D675" s="14" t="n">
        <v>2397.8</v>
      </c>
      <c r="E675" s="14" t="n">
        <v>2372.2</v>
      </c>
      <c r="F675" s="14" t="n">
        <v>2390.9</v>
      </c>
      <c r="G675" s="9">
        <f>F675-F674</f>
        <v/>
      </c>
      <c r="H675" s="10">
        <f>IF(F674=0,0,G675/F674)</f>
        <v/>
      </c>
      <c r="I675" s="8">
        <f>D675-E675</f>
        <v/>
      </c>
      <c r="J675" s="4">
        <f>IF(F675&gt;C675,"Up",IF(F675&lt;C675,"Down","Flat"))</f>
        <v/>
      </c>
      <c r="K675" s="14" t="n">
        <v>37.37</v>
      </c>
      <c r="L675" s="15" t="n">
        <v>56.53</v>
      </c>
      <c r="M675" s="14" t="n">
        <v>2360.76</v>
      </c>
      <c r="N675" s="14" t="n">
        <v>2321.88</v>
      </c>
      <c r="O675" s="14" t="n">
        <v>2145.64</v>
      </c>
      <c r="P675" s="4">
        <f>IF(O675="","",IF(F675&gt;O675,"Above","Below"))</f>
        <v/>
      </c>
      <c r="Q675" s="16" t="n">
        <v>172202</v>
      </c>
      <c r="R675" s="17" t="n">
        <v>0</v>
      </c>
      <c r="S675" s="17" t="n">
        <v>0</v>
      </c>
      <c r="T675" s="17" t="n">
        <v>0</v>
      </c>
      <c r="U675" s="18" t="n">
        <v>0</v>
      </c>
    </row>
    <row r="676">
      <c r="A676" s="13" t="n">
        <v>45450</v>
      </c>
      <c r="B676" s="4">
        <f>TEXT(A676,"ddd")</f>
        <v/>
      </c>
      <c r="C676" s="14" t="n">
        <v>2395.7</v>
      </c>
      <c r="D676" s="14" t="n">
        <v>2406.7</v>
      </c>
      <c r="E676" s="14" t="n">
        <v>2304.2</v>
      </c>
      <c r="F676" s="14" t="n">
        <v>2325</v>
      </c>
      <c r="G676" s="9">
        <f>F676-F675</f>
        <v/>
      </c>
      <c r="H676" s="10">
        <f>IF(F675=0,0,G676/F675)</f>
        <v/>
      </c>
      <c r="I676" s="8">
        <f>D676-E676</f>
        <v/>
      </c>
      <c r="J676" s="4">
        <f>IF(F676&gt;C676,"Up",IF(F676&lt;C676,"Down","Flat"))</f>
        <v/>
      </c>
      <c r="K676" s="14" t="n">
        <v>42.02</v>
      </c>
      <c r="L676" s="15" t="n">
        <v>45.6</v>
      </c>
      <c r="M676" s="14" t="n">
        <v>2357.35</v>
      </c>
      <c r="N676" s="14" t="n">
        <v>2322</v>
      </c>
      <c r="O676" s="14" t="n">
        <v>2147.43</v>
      </c>
      <c r="P676" s="4">
        <f>IF(O676="","",IF(F676&gt;O676,"Above","Below"))</f>
        <v/>
      </c>
      <c r="Q676" s="16" t="n">
        <v>314551</v>
      </c>
      <c r="R676" s="17" t="n">
        <v>0</v>
      </c>
      <c r="S676" s="17" t="n">
        <v>0</v>
      </c>
      <c r="T676" s="17" t="n">
        <v>0</v>
      </c>
      <c r="U676" s="18" t="n">
        <v>0</v>
      </c>
    </row>
    <row r="677">
      <c r="A677" s="13" t="n">
        <v>45453</v>
      </c>
      <c r="B677" s="4">
        <f>TEXT(A677,"ddd")</f>
        <v/>
      </c>
      <c r="C677" s="14" t="n">
        <v>2311</v>
      </c>
      <c r="D677" s="14" t="n">
        <v>2331.3</v>
      </c>
      <c r="E677" s="14" t="n">
        <v>2304.5</v>
      </c>
      <c r="F677" s="14" t="n">
        <v>2327</v>
      </c>
      <c r="G677" s="9">
        <f>F677-F676</f>
        <v/>
      </c>
      <c r="H677" s="10">
        <f>IF(F676=0,0,G677/F676)</f>
        <v/>
      </c>
      <c r="I677" s="8">
        <f>D677-E677</f>
        <v/>
      </c>
      <c r="J677" s="4">
        <f>IF(F677&gt;C677,"Up",IF(F677&lt;C677,"Down","Flat"))</f>
        <v/>
      </c>
      <c r="K677" s="14" t="n">
        <v>40.94</v>
      </c>
      <c r="L677" s="15" t="n">
        <v>45.94</v>
      </c>
      <c r="M677" s="14" t="n">
        <v>2354.46</v>
      </c>
      <c r="N677" s="14" t="n">
        <v>2322.2</v>
      </c>
      <c r="O677" s="14" t="n">
        <v>2149.21</v>
      </c>
      <c r="P677" s="4">
        <f>IF(O677="","",IF(F677&gt;O677,"Above","Below"))</f>
        <v/>
      </c>
      <c r="Q677" s="16" t="n">
        <v>142888</v>
      </c>
      <c r="R677" s="17" t="n">
        <v>0</v>
      </c>
      <c r="S677" s="17" t="n">
        <v>0</v>
      </c>
      <c r="T677" s="17" t="n">
        <v>0</v>
      </c>
      <c r="U677" s="18" t="n">
        <v>0</v>
      </c>
    </row>
    <row r="678">
      <c r="A678" s="13" t="n">
        <v>45454</v>
      </c>
      <c r="B678" s="4">
        <f>TEXT(A678,"ddd")</f>
        <v/>
      </c>
      <c r="C678" s="14" t="n">
        <v>2329.5</v>
      </c>
      <c r="D678" s="14" t="n">
        <v>2337.3</v>
      </c>
      <c r="E678" s="14" t="n">
        <v>2314.5</v>
      </c>
      <c r="F678" s="14" t="n">
        <v>2326.6</v>
      </c>
      <c r="G678" s="9">
        <f>F678-F677</f>
        <v/>
      </c>
      <c r="H678" s="10">
        <f>IF(F677=0,0,G678/F677)</f>
        <v/>
      </c>
      <c r="I678" s="8">
        <f>D678-E678</f>
        <v/>
      </c>
      <c r="J678" s="4">
        <f>IF(F678&gt;C678,"Up",IF(F678&lt;C678,"Down","Flat"))</f>
        <v/>
      </c>
      <c r="K678" s="14" t="n">
        <v>39.64</v>
      </c>
      <c r="L678" s="15" t="n">
        <v>45.88</v>
      </c>
      <c r="M678" s="14" t="n">
        <v>2351.81</v>
      </c>
      <c r="N678" s="14" t="n">
        <v>2322.37</v>
      </c>
      <c r="O678" s="14" t="n">
        <v>2150.98</v>
      </c>
      <c r="P678" s="4">
        <f>IF(O678="","",IF(F678&gt;O678,"Above","Below"))</f>
        <v/>
      </c>
      <c r="Q678" s="16" t="n">
        <v>145501</v>
      </c>
      <c r="R678" s="17" t="n">
        <v>0</v>
      </c>
      <c r="S678" s="17" t="n">
        <v>0</v>
      </c>
      <c r="T678" s="17" t="n">
        <v>0</v>
      </c>
      <c r="U678" s="18" t="n">
        <v>0</v>
      </c>
    </row>
    <row r="679">
      <c r="A679" s="13" t="n">
        <v>45455</v>
      </c>
      <c r="B679" s="4">
        <f>TEXT(A679,"ddd")</f>
        <v/>
      </c>
      <c r="C679" s="14" t="n">
        <v>2334</v>
      </c>
      <c r="D679" s="14" t="n">
        <v>2358.8</v>
      </c>
      <c r="E679" s="14" t="n">
        <v>2327.2</v>
      </c>
      <c r="F679" s="14" t="n">
        <v>2354.8</v>
      </c>
      <c r="G679" s="9">
        <f>F679-F678</f>
        <v/>
      </c>
      <c r="H679" s="10">
        <f>IF(F678=0,0,G679/F678)</f>
        <v/>
      </c>
      <c r="I679" s="8">
        <f>D679-E679</f>
        <v/>
      </c>
      <c r="J679" s="4">
        <f>IF(F679&gt;C679,"Up",IF(F679&lt;C679,"Down","Flat"))</f>
        <v/>
      </c>
      <c r="K679" s="14" t="n">
        <v>39.11</v>
      </c>
      <c r="L679" s="15" t="n">
        <v>50.91</v>
      </c>
      <c r="M679" s="14" t="n">
        <v>2352.09</v>
      </c>
      <c r="N679" s="14" t="n">
        <v>2323.64</v>
      </c>
      <c r="O679" s="14" t="n">
        <v>2153.01</v>
      </c>
      <c r="P679" s="4">
        <f>IF(O679="","",IF(F679&gt;O679,"Above","Below"))</f>
        <v/>
      </c>
      <c r="Q679" s="16" t="n">
        <v>241670</v>
      </c>
      <c r="R679" s="17" t="n">
        <v>0</v>
      </c>
      <c r="S679" s="17" t="n">
        <v>0</v>
      </c>
      <c r="T679" s="17" t="n">
        <v>0</v>
      </c>
      <c r="U679" s="18" t="n">
        <v>0</v>
      </c>
    </row>
    <row r="680">
      <c r="A680" s="13" t="n">
        <v>45456</v>
      </c>
      <c r="B680" s="4">
        <f>TEXT(A680,"ddd")</f>
        <v/>
      </c>
      <c r="C680" s="14" t="n">
        <v>2340.9</v>
      </c>
      <c r="D680" s="14" t="n">
        <v>2342.4</v>
      </c>
      <c r="E680" s="14" t="n">
        <v>2310.9</v>
      </c>
      <c r="F680" s="14" t="n">
        <v>2318</v>
      </c>
      <c r="G680" s="9">
        <f>F680-F679</f>
        <v/>
      </c>
      <c r="H680" s="10">
        <f>IF(F679=0,0,G680/F679)</f>
        <v/>
      </c>
      <c r="I680" s="8">
        <f>D680-E680</f>
        <v/>
      </c>
      <c r="J680" s="4">
        <f>IF(F680&gt;C680,"Up",IF(F680&lt;C680,"Down","Flat"))</f>
        <v/>
      </c>
      <c r="K680" s="14" t="n">
        <v>39.45</v>
      </c>
      <c r="L680" s="15" t="n">
        <v>45.03</v>
      </c>
      <c r="M680" s="14" t="n">
        <v>2348.85</v>
      </c>
      <c r="N680" s="14" t="n">
        <v>2323.42</v>
      </c>
      <c r="O680" s="14" t="n">
        <v>2154.65</v>
      </c>
      <c r="P680" s="4">
        <f>IF(O680="","",IF(F680&gt;O680,"Above","Below"))</f>
        <v/>
      </c>
      <c r="Q680" s="16" t="n">
        <v>182657</v>
      </c>
      <c r="R680" s="17" t="n">
        <v>0</v>
      </c>
      <c r="S680" s="17" t="n">
        <v>0</v>
      </c>
      <c r="T680" s="17" t="n">
        <v>0</v>
      </c>
      <c r="U680" s="18" t="n">
        <v>0</v>
      </c>
    </row>
    <row r="681">
      <c r="A681" s="13" t="n">
        <v>45457</v>
      </c>
      <c r="B681" s="4">
        <f>TEXT(A681,"ddd")</f>
        <v/>
      </c>
      <c r="C681" s="14" t="n">
        <v>2319.6</v>
      </c>
      <c r="D681" s="14" t="n">
        <v>2352.3</v>
      </c>
      <c r="E681" s="14" t="n">
        <v>2316.7</v>
      </c>
      <c r="F681" s="14" t="n">
        <v>2349.1</v>
      </c>
      <c r="G681" s="9">
        <f>F681-F680</f>
        <v/>
      </c>
      <c r="H681" s="10">
        <f>IF(F680=0,0,G681/F680)</f>
        <v/>
      </c>
      <c r="I681" s="8">
        <f>D681-E681</f>
        <v/>
      </c>
      <c r="J681" s="4">
        <f>IF(F681&gt;C681,"Up",IF(F681&lt;C681,"Down","Flat"))</f>
        <v/>
      </c>
      <c r="K681" s="14" t="n">
        <v>39.18</v>
      </c>
      <c r="L681" s="15" t="n">
        <v>50.26</v>
      </c>
      <c r="M681" s="14" t="n">
        <v>2348.87</v>
      </c>
      <c r="N681" s="14" t="n">
        <v>2324.43</v>
      </c>
      <c r="O681" s="14" t="n">
        <v>2156.58</v>
      </c>
      <c r="P681" s="4">
        <f>IF(O681="","",IF(F681&gt;O681,"Above","Below"))</f>
        <v/>
      </c>
      <c r="Q681" s="16" t="n">
        <v>163367</v>
      </c>
      <c r="R681" s="17" t="n">
        <v>0</v>
      </c>
      <c r="S681" s="17" t="n">
        <v>0</v>
      </c>
      <c r="T681" s="17" t="n">
        <v>0</v>
      </c>
      <c r="U681" s="18" t="n">
        <v>0</v>
      </c>
    </row>
    <row r="682">
      <c r="A682" s="13" t="n">
        <v>45460</v>
      </c>
      <c r="B682" s="4">
        <f>TEXT(A682,"ddd")</f>
        <v/>
      </c>
      <c r="C682" s="14" t="n">
        <v>2348.5</v>
      </c>
      <c r="D682" s="14" t="n">
        <v>2348.7</v>
      </c>
      <c r="E682" s="14" t="n">
        <v>2324.3</v>
      </c>
      <c r="F682" s="14" t="n">
        <v>2329</v>
      </c>
      <c r="G682" s="9">
        <f>F682-F681</f>
        <v/>
      </c>
      <c r="H682" s="10">
        <f>IF(F681=0,0,G682/F681)</f>
        <v/>
      </c>
      <c r="I682" s="8">
        <f>D682-E682</f>
        <v/>
      </c>
      <c r="J682" s="4">
        <f>IF(F682&gt;C682,"Up",IF(F682&lt;C682,"Down","Flat"))</f>
        <v/>
      </c>
      <c r="K682" s="14" t="n">
        <v>38.15</v>
      </c>
      <c r="L682" s="15" t="n">
        <v>47.14</v>
      </c>
      <c r="M682" s="14" t="n">
        <v>2346.98</v>
      </c>
      <c r="N682" s="14" t="n">
        <v>2324.61</v>
      </c>
      <c r="O682" s="14" t="n">
        <v>2158.3</v>
      </c>
      <c r="P682" s="4">
        <f>IF(O682="","",IF(F682&gt;O682,"Above","Below"))</f>
        <v/>
      </c>
      <c r="Q682" s="16" t="n">
        <v>122702</v>
      </c>
      <c r="R682" s="17" t="n">
        <v>0</v>
      </c>
      <c r="S682" s="17" t="n">
        <v>0</v>
      </c>
      <c r="T682" s="17" t="n">
        <v>0</v>
      </c>
      <c r="U682" s="18" t="n">
        <v>0</v>
      </c>
    </row>
    <row r="683">
      <c r="A683" s="13" t="n">
        <v>45461</v>
      </c>
      <c r="B683" s="4">
        <f>TEXT(A683,"ddd")</f>
        <v/>
      </c>
      <c r="C683" s="14" t="n">
        <v>2333.7</v>
      </c>
      <c r="D683" s="14" t="n">
        <v>2348.2</v>
      </c>
      <c r="E683" s="14" t="n">
        <v>2320.2</v>
      </c>
      <c r="F683" s="14" t="n">
        <v>2346.9</v>
      </c>
      <c r="G683" s="9">
        <f>F683-F682</f>
        <v/>
      </c>
      <c r="H683" s="10">
        <f>IF(F682=0,0,G683/F682)</f>
        <v/>
      </c>
      <c r="I683" s="8">
        <f>D683-E683</f>
        <v/>
      </c>
      <c r="J683" s="4">
        <f>IF(F683&gt;C683,"Up",IF(F683&lt;C683,"Down","Flat"))</f>
        <v/>
      </c>
      <c r="K683" s="14" t="n">
        <v>37.43</v>
      </c>
      <c r="L683" s="15" t="n">
        <v>50.11</v>
      </c>
      <c r="M683" s="14" t="n">
        <v>2346.97</v>
      </c>
      <c r="N683" s="14" t="n">
        <v>2325.48</v>
      </c>
      <c r="O683" s="14" t="n">
        <v>2160.18</v>
      </c>
      <c r="P683" s="4">
        <f>IF(O683="","",IF(F683&gt;O683,"Above","Below"))</f>
        <v/>
      </c>
      <c r="Q683" s="16" t="n">
        <v>154251</v>
      </c>
      <c r="R683" s="17" t="n">
        <v>0</v>
      </c>
      <c r="S683" s="17" t="n">
        <v>0</v>
      </c>
      <c r="T683" s="17" t="n">
        <v>0</v>
      </c>
      <c r="U683" s="18" t="n">
        <v>0</v>
      </c>
    </row>
    <row r="684">
      <c r="A684" s="13" t="n">
        <v>45463</v>
      </c>
      <c r="B684" s="4">
        <f>TEXT(A684,"ddd")</f>
        <v/>
      </c>
      <c r="C684" s="14" t="n">
        <v>2344.2</v>
      </c>
      <c r="D684" s="14" t="n">
        <v>2379.5</v>
      </c>
      <c r="E684" s="14" t="n">
        <v>2338.5</v>
      </c>
      <c r="F684" s="14" t="n">
        <v>2369</v>
      </c>
      <c r="G684" s="9">
        <f>F684-F683</f>
        <v/>
      </c>
      <c r="H684" s="10">
        <f>IF(F683=0,0,G684/F683)</f>
        <v/>
      </c>
      <c r="I684" s="8">
        <f>D684-E684</f>
        <v/>
      </c>
      <c r="J684" s="4">
        <f>IF(F684&gt;C684,"Up",IF(F684&lt;C684,"Down","Flat"))</f>
        <v/>
      </c>
      <c r="K684" s="14" t="n">
        <v>37.68</v>
      </c>
      <c r="L684" s="15" t="n">
        <v>53.58</v>
      </c>
      <c r="M684" s="14" t="n">
        <v>2349.07</v>
      </c>
      <c r="N684" s="14" t="n">
        <v>2327.19</v>
      </c>
      <c r="O684" s="14" t="n">
        <v>2162.25</v>
      </c>
      <c r="P684" s="4">
        <f>IF(O684="","",IF(F684&gt;O684,"Above","Below"))</f>
        <v/>
      </c>
      <c r="Q684" s="16" t="n">
        <v>252687</v>
      </c>
      <c r="R684" s="17" t="n">
        <v>0</v>
      </c>
      <c r="S684" s="17" t="n">
        <v>0</v>
      </c>
      <c r="T684" s="17" t="n">
        <v>0</v>
      </c>
      <c r="U684" s="18" t="n">
        <v>0</v>
      </c>
    </row>
    <row r="685">
      <c r="A685" s="13" t="n">
        <v>45464</v>
      </c>
      <c r="B685" s="4">
        <f>TEXT(A685,"ddd")</f>
        <v/>
      </c>
      <c r="C685" s="14" t="n">
        <v>2373.8</v>
      </c>
      <c r="D685" s="14" t="n">
        <v>2382.6</v>
      </c>
      <c r="E685" s="14" t="n">
        <v>2329.2</v>
      </c>
      <c r="F685" s="14" t="n">
        <v>2331.2</v>
      </c>
      <c r="G685" s="9">
        <f>F685-F684</f>
        <v/>
      </c>
      <c r="H685" s="10">
        <f>IF(F684=0,0,G685/F684)</f>
        <v/>
      </c>
      <c r="I685" s="8">
        <f>D685-E685</f>
        <v/>
      </c>
      <c r="J685" s="4">
        <f>IF(F685&gt;C685,"Up",IF(F685&lt;C685,"Down","Flat"))</f>
        <v/>
      </c>
      <c r="K685" s="14" t="n">
        <v>38.8</v>
      </c>
      <c r="L685" s="15" t="n">
        <v>47.5</v>
      </c>
      <c r="M685" s="14" t="n">
        <v>2347.37</v>
      </c>
      <c r="N685" s="14" t="n">
        <v>2327.34</v>
      </c>
      <c r="O685" s="14" t="n">
        <v>2163.94</v>
      </c>
      <c r="P685" s="4">
        <f>IF(O685="","",IF(F685&gt;O685,"Above","Below"))</f>
        <v/>
      </c>
      <c r="Q685" s="16" t="n">
        <v>194824</v>
      </c>
      <c r="R685" s="17" t="n">
        <v>0</v>
      </c>
      <c r="S685" s="17" t="n">
        <v>0</v>
      </c>
      <c r="T685" s="17" t="n">
        <v>0</v>
      </c>
      <c r="U685" s="18" t="n">
        <v>0</v>
      </c>
    </row>
    <row r="686">
      <c r="A686" s="13" t="n">
        <v>45467</v>
      </c>
      <c r="B686" s="4">
        <f>TEXT(A686,"ddd")</f>
        <v/>
      </c>
      <c r="C686" s="14" t="n">
        <v>2333.5</v>
      </c>
      <c r="D686" s="14" t="n">
        <v>2347.5</v>
      </c>
      <c r="E686" s="14" t="n">
        <v>2329.5</v>
      </c>
      <c r="F686" s="14" t="n">
        <v>2344.4</v>
      </c>
      <c r="G686" s="9">
        <f>F686-F685</f>
        <v/>
      </c>
      <c r="H686" s="10">
        <f>IF(F685=0,0,G686/F685)</f>
        <v/>
      </c>
      <c r="I686" s="8">
        <f>D686-E686</f>
        <v/>
      </c>
      <c r="J686" s="4">
        <f>IF(F686&gt;C686,"Up",IF(F686&lt;C686,"Down","Flat"))</f>
        <v/>
      </c>
      <c r="K686" s="14" t="n">
        <v>37.32</v>
      </c>
      <c r="L686" s="15" t="n">
        <v>49.65</v>
      </c>
      <c r="M686" s="14" t="n">
        <v>2347.09</v>
      </c>
      <c r="N686" s="14" t="n">
        <v>2328.01</v>
      </c>
      <c r="O686" s="14" t="n">
        <v>2165.73</v>
      </c>
      <c r="P686" s="4">
        <f>IF(O686="","",IF(F686&gt;O686,"Above","Below"))</f>
        <v/>
      </c>
      <c r="Q686" s="16" t="n">
        <v>117625</v>
      </c>
      <c r="R686" s="17" t="n">
        <v>0</v>
      </c>
      <c r="S686" s="17" t="n">
        <v>0</v>
      </c>
      <c r="T686" s="17" t="n">
        <v>0</v>
      </c>
      <c r="U686" s="18" t="n">
        <v>0</v>
      </c>
    </row>
    <row r="687">
      <c r="A687" s="13" t="n">
        <v>45468</v>
      </c>
      <c r="B687" s="4">
        <f>TEXT(A687,"ddd")</f>
        <v/>
      </c>
      <c r="C687" s="14" t="n">
        <v>2346.8</v>
      </c>
      <c r="D687" s="14" t="n">
        <v>2349.7</v>
      </c>
      <c r="E687" s="14" t="n">
        <v>2327.1</v>
      </c>
      <c r="F687" s="14" t="n">
        <v>2330.8</v>
      </c>
      <c r="G687" s="9">
        <f>F687-F686</f>
        <v/>
      </c>
      <c r="H687" s="10">
        <f>IF(F686=0,0,G687/F686)</f>
        <v/>
      </c>
      <c r="I687" s="8">
        <f>D687-E687</f>
        <v/>
      </c>
      <c r="J687" s="4">
        <f>IF(F687&gt;C687,"Up",IF(F687&lt;C687,"Down","Flat"))</f>
        <v/>
      </c>
      <c r="K687" s="14" t="n">
        <v>36.27</v>
      </c>
      <c r="L687" s="15" t="n">
        <v>47.49</v>
      </c>
      <c r="M687" s="14" t="n">
        <v>2345.53</v>
      </c>
      <c r="N687" s="14" t="n">
        <v>2328.12</v>
      </c>
      <c r="O687" s="14" t="n">
        <v>2167.37</v>
      </c>
      <c r="P687" s="4">
        <f>IF(O687="","",IF(F687&gt;O687,"Above","Below"))</f>
        <v/>
      </c>
      <c r="Q687" s="16" t="n">
        <v>144271</v>
      </c>
      <c r="R687" s="17" t="n">
        <v>0</v>
      </c>
      <c r="S687" s="17" t="n">
        <v>0</v>
      </c>
      <c r="T687" s="17" t="n">
        <v>0</v>
      </c>
      <c r="U687" s="18" t="n">
        <v>0</v>
      </c>
    </row>
    <row r="688">
      <c r="A688" s="13" t="n">
        <v>45469</v>
      </c>
      <c r="B688" s="4">
        <f>TEXT(A688,"ddd")</f>
        <v/>
      </c>
      <c r="C688" s="14" t="n">
        <v>2331.8</v>
      </c>
      <c r="D688" s="14" t="n">
        <v>2335.8</v>
      </c>
      <c r="E688" s="14" t="n">
        <v>2304.7</v>
      </c>
      <c r="F688" s="14" t="n">
        <v>2313.2</v>
      </c>
      <c r="G688" s="9">
        <f>F688-F687</f>
        <v/>
      </c>
      <c r="H688" s="10">
        <f>IF(F687=0,0,G688/F687)</f>
        <v/>
      </c>
      <c r="I688" s="8">
        <f>D688-E688</f>
        <v/>
      </c>
      <c r="J688" s="4">
        <f>IF(F688&gt;C688,"Up",IF(F688&lt;C688,"Down","Flat"))</f>
        <v/>
      </c>
      <c r="K688" s="14" t="n">
        <v>35.9</v>
      </c>
      <c r="L688" s="15" t="n">
        <v>44.77</v>
      </c>
      <c r="M688" s="14" t="n">
        <v>2342.45</v>
      </c>
      <c r="N688" s="14" t="n">
        <v>2327.54</v>
      </c>
      <c r="O688" s="14" t="n">
        <v>2168.82</v>
      </c>
      <c r="P688" s="4">
        <f>IF(O688="","",IF(F688&gt;O688,"Above","Below"))</f>
        <v/>
      </c>
      <c r="Q688" s="16" t="n">
        <v>191628</v>
      </c>
      <c r="R688" s="17" t="n">
        <v>0</v>
      </c>
      <c r="S688" s="17" t="n">
        <v>0</v>
      </c>
      <c r="T688" s="17" t="n">
        <v>0</v>
      </c>
      <c r="U688" s="18" t="n">
        <v>0</v>
      </c>
    </row>
    <row r="689">
      <c r="A689" s="13" t="n">
        <v>45470</v>
      </c>
      <c r="B689" s="4">
        <f>TEXT(A689,"ddd")</f>
        <v/>
      </c>
      <c r="C689" s="14" t="n">
        <v>2309.4</v>
      </c>
      <c r="D689" s="14" t="n">
        <v>2342</v>
      </c>
      <c r="E689" s="14" t="n">
        <v>2306.8</v>
      </c>
      <c r="F689" s="14" t="n">
        <v>2336.6</v>
      </c>
      <c r="G689" s="9">
        <f>F689-F688</f>
        <v/>
      </c>
      <c r="H689" s="10">
        <f>IF(F688=0,0,G689/F688)</f>
        <v/>
      </c>
      <c r="I689" s="8">
        <f>D689-E689</f>
        <v/>
      </c>
      <c r="J689" s="4">
        <f>IF(F689&gt;C689,"Up",IF(F689&lt;C689,"Down","Flat"))</f>
        <v/>
      </c>
      <c r="K689" s="14" t="n">
        <v>35.85</v>
      </c>
      <c r="L689" s="15" t="n">
        <v>48.95</v>
      </c>
      <c r="M689" s="14" t="n">
        <v>2341.9</v>
      </c>
      <c r="N689" s="14" t="n">
        <v>2327.89</v>
      </c>
      <c r="O689" s="14" t="n">
        <v>2170.49</v>
      </c>
      <c r="P689" s="4">
        <f>IF(O689="","",IF(F689&gt;O689,"Above","Below"))</f>
        <v/>
      </c>
      <c r="Q689" s="16" t="n">
        <v>140228</v>
      </c>
      <c r="R689" s="17" t="n">
        <v>0</v>
      </c>
      <c r="S689" s="17" t="n">
        <v>0</v>
      </c>
      <c r="T689" s="17" t="n">
        <v>0</v>
      </c>
      <c r="U689" s="18" t="n">
        <v>0</v>
      </c>
    </row>
    <row r="690">
      <c r="A690" s="13" t="n">
        <v>45471</v>
      </c>
      <c r="B690" s="4">
        <f>TEXT(A690,"ddd")</f>
        <v/>
      </c>
      <c r="C690" s="14" t="n">
        <v>2338.6</v>
      </c>
      <c r="D690" s="14" t="n">
        <v>2350.6</v>
      </c>
      <c r="E690" s="14" t="n">
        <v>2329.7</v>
      </c>
      <c r="F690" s="14" t="n">
        <v>2339.6</v>
      </c>
      <c r="G690" s="9">
        <f>F690-F689</f>
        <v/>
      </c>
      <c r="H690" s="10">
        <f>IF(F689=0,0,G690/F689)</f>
        <v/>
      </c>
      <c r="I690" s="8">
        <f>D690-E690</f>
        <v/>
      </c>
      <c r="J690" s="4">
        <f>IF(F690&gt;C690,"Up",IF(F690&lt;C690,"Down","Flat"))</f>
        <v/>
      </c>
      <c r="K690" s="14" t="n">
        <v>34.78</v>
      </c>
      <c r="L690" s="15" t="n">
        <v>49.48</v>
      </c>
      <c r="M690" s="14" t="n">
        <v>2341.68</v>
      </c>
      <c r="N690" s="14" t="n">
        <v>2328.35</v>
      </c>
      <c r="O690" s="14" t="n">
        <v>2172.18</v>
      </c>
      <c r="P690" s="4">
        <f>IF(O690="","",IF(F690&gt;O690,"Above","Below"))</f>
        <v/>
      </c>
      <c r="Q690" s="16" t="n">
        <v>135383</v>
      </c>
      <c r="R690" s="17" t="n">
        <v>0</v>
      </c>
      <c r="S690" s="17" t="n">
        <v>0</v>
      </c>
      <c r="T690" s="17" t="n">
        <v>0</v>
      </c>
      <c r="U690" s="18" t="n">
        <v>0</v>
      </c>
    </row>
    <row r="691">
      <c r="A691" s="13" t="n">
        <v>45474</v>
      </c>
      <c r="B691" s="4">
        <f>TEXT(A691,"ddd")</f>
        <v/>
      </c>
      <c r="C691" s="14" t="n">
        <v>2336.2</v>
      </c>
      <c r="D691" s="14" t="n">
        <v>2348.8</v>
      </c>
      <c r="E691" s="14" t="n">
        <v>2328.2</v>
      </c>
      <c r="F691" s="14" t="n">
        <v>2338.9</v>
      </c>
      <c r="G691" s="9">
        <f>F691-F690</f>
        <v/>
      </c>
      <c r="H691" s="10">
        <f>IF(F690=0,0,G691/F690)</f>
        <v/>
      </c>
      <c r="I691" s="8">
        <f>D691-E691</f>
        <v/>
      </c>
      <c r="J691" s="4">
        <f>IF(F691&gt;C691,"Up",IF(F691&lt;C691,"Down","Flat"))</f>
        <v/>
      </c>
      <c r="K691" s="14" t="n">
        <v>33.77</v>
      </c>
      <c r="L691" s="15" t="n">
        <v>49.35</v>
      </c>
      <c r="M691" s="14" t="n">
        <v>2341.41</v>
      </c>
      <c r="N691" s="14" t="n">
        <v>2328.77</v>
      </c>
      <c r="O691" s="14" t="n">
        <v>2173.84</v>
      </c>
      <c r="P691" s="4">
        <f>IF(O691="","",IF(F691&gt;O691,"Above","Below"))</f>
        <v/>
      </c>
      <c r="Q691" s="16" t="n">
        <v>142601</v>
      </c>
      <c r="R691" s="17" t="n">
        <v>0</v>
      </c>
      <c r="S691" s="17" t="n">
        <v>0</v>
      </c>
      <c r="T691" s="17" t="n">
        <v>0</v>
      </c>
      <c r="U691" s="18" t="n">
        <v>0</v>
      </c>
    </row>
    <row r="692">
      <c r="A692" s="13" t="n">
        <v>45475</v>
      </c>
      <c r="B692" s="4">
        <f>TEXT(A692,"ddd")</f>
        <v/>
      </c>
      <c r="C692" s="14" t="n">
        <v>2341.6</v>
      </c>
      <c r="D692" s="14" t="n">
        <v>2346.1</v>
      </c>
      <c r="E692" s="14" t="n">
        <v>2327.4</v>
      </c>
      <c r="F692" s="14" t="n">
        <v>2333.4</v>
      </c>
      <c r="G692" s="9">
        <f>F692-F691</f>
        <v/>
      </c>
      <c r="H692" s="10">
        <f>IF(F691=0,0,G692/F691)</f>
        <v/>
      </c>
      <c r="I692" s="8">
        <f>D692-E692</f>
        <v/>
      </c>
      <c r="J692" s="4">
        <f>IF(F692&gt;C692,"Up",IF(F692&lt;C692,"Down","Flat"))</f>
        <v/>
      </c>
      <c r="K692" s="14" t="n">
        <v>32.69</v>
      </c>
      <c r="L692" s="15" t="n">
        <v>48.29</v>
      </c>
      <c r="M692" s="14" t="n">
        <v>2340.65</v>
      </c>
      <c r="N692" s="14" t="n">
        <v>2328.95</v>
      </c>
      <c r="O692" s="14" t="n">
        <v>2175.42</v>
      </c>
      <c r="P692" s="4">
        <f>IF(O692="","",IF(F692&gt;O692,"Above","Below"))</f>
        <v/>
      </c>
      <c r="Q692" s="16" t="n">
        <v>153709</v>
      </c>
      <c r="R692" s="17" t="n">
        <v>0</v>
      </c>
      <c r="S692" s="17" t="n">
        <v>0</v>
      </c>
      <c r="T692" s="17" t="n">
        <v>0</v>
      </c>
      <c r="U692" s="18" t="n">
        <v>0</v>
      </c>
    </row>
    <row r="693">
      <c r="A693" s="13" t="n">
        <v>45476</v>
      </c>
      <c r="B693" s="4">
        <f>TEXT(A693,"ddd")</f>
        <v/>
      </c>
      <c r="C693" s="14" t="n">
        <v>2338.6</v>
      </c>
      <c r="D693" s="14" t="n">
        <v>2374.5</v>
      </c>
      <c r="E693" s="14" t="n">
        <v>2335.7</v>
      </c>
      <c r="F693" s="14" t="n">
        <v>2369.4</v>
      </c>
      <c r="G693" s="9">
        <f>F693-F692</f>
        <v/>
      </c>
      <c r="H693" s="10">
        <f>IF(F692=0,0,G693/F692)</f>
        <v/>
      </c>
      <c r="I693" s="8">
        <f>D693-E693</f>
        <v/>
      </c>
      <c r="J693" s="4">
        <f>IF(F693&gt;C693,"Up",IF(F693&lt;C693,"Down","Flat"))</f>
        <v/>
      </c>
      <c r="K693" s="14" t="n">
        <v>33.29</v>
      </c>
      <c r="L693" s="15" t="n">
        <v>55.08</v>
      </c>
      <c r="M693" s="14" t="n">
        <v>2343.39</v>
      </c>
      <c r="N693" s="14" t="n">
        <v>2330.53</v>
      </c>
      <c r="O693" s="14" t="n">
        <v>2177.35</v>
      </c>
      <c r="P693" s="4">
        <f>IF(O693="","",IF(F693&gt;O693,"Above","Below"))</f>
        <v/>
      </c>
      <c r="Q693" s="16" t="n">
        <v>193642</v>
      </c>
      <c r="R693" s="17" t="n">
        <v>0</v>
      </c>
      <c r="S693" s="17" t="n">
        <v>0</v>
      </c>
      <c r="T693" s="17" t="n">
        <v>0</v>
      </c>
      <c r="U693" s="18" t="n">
        <v>0</v>
      </c>
    </row>
    <row r="694">
      <c r="A694" s="13" t="n">
        <v>45478</v>
      </c>
      <c r="B694" s="4">
        <f>TEXT(A694,"ddd")</f>
        <v/>
      </c>
      <c r="C694" s="14" t="n">
        <v>2365.8</v>
      </c>
      <c r="D694" s="14" t="n">
        <v>2401.5</v>
      </c>
      <c r="E694" s="14" t="n">
        <v>2356</v>
      </c>
      <c r="F694" s="14" t="n">
        <v>2397.7</v>
      </c>
      <c r="G694" s="9">
        <f>F694-F693</f>
        <v/>
      </c>
      <c r="H694" s="10">
        <f>IF(F693=0,0,G694/F693)</f>
        <v/>
      </c>
      <c r="I694" s="8">
        <f>D694-E694</f>
        <v/>
      </c>
      <c r="J694" s="4">
        <f>IF(F694&gt;C694,"Up",IF(F694&lt;C694,"Down","Flat"))</f>
        <v/>
      </c>
      <c r="K694" s="14" t="n">
        <v>34.16</v>
      </c>
      <c r="L694" s="15" t="n">
        <v>59.58</v>
      </c>
      <c r="M694" s="14" t="n">
        <v>2348.56</v>
      </c>
      <c r="N694" s="14" t="n">
        <v>2333.17</v>
      </c>
      <c r="O694" s="14" t="n">
        <v>2179.55</v>
      </c>
      <c r="P694" s="4">
        <f>IF(O694="","",IF(F694&gt;O694,"Above","Below"))</f>
        <v/>
      </c>
      <c r="Q694" s="16" t="n">
        <v>293254</v>
      </c>
      <c r="R694" s="17" t="n">
        <v>0</v>
      </c>
      <c r="S694" s="17" t="n">
        <v>0</v>
      </c>
      <c r="T694" s="17" t="n">
        <v>0</v>
      </c>
      <c r="U694" s="18" t="n">
        <v>0</v>
      </c>
    </row>
    <row r="695">
      <c r="A695" s="13" t="n">
        <v>45481</v>
      </c>
      <c r="B695" s="4">
        <f>TEXT(A695,"ddd")</f>
        <v/>
      </c>
      <c r="C695" s="14" t="n">
        <v>2396.2</v>
      </c>
      <c r="D695" s="14" t="n">
        <v>2399.3</v>
      </c>
      <c r="E695" s="14" t="n">
        <v>2358.3</v>
      </c>
      <c r="F695" s="14" t="n">
        <v>2363.5</v>
      </c>
      <c r="G695" s="9">
        <f>F695-F694</f>
        <v/>
      </c>
      <c r="H695" s="10">
        <f>IF(F694=0,0,G695/F694)</f>
        <v/>
      </c>
      <c r="I695" s="8">
        <f>D695-E695</f>
        <v/>
      </c>
      <c r="J695" s="4">
        <f>IF(F695&gt;C695,"Up",IF(F695&lt;C695,"Down","Flat"))</f>
        <v/>
      </c>
      <c r="K695" s="14" t="n">
        <v>34.65</v>
      </c>
      <c r="L695" s="15" t="n">
        <v>52.71</v>
      </c>
      <c r="M695" s="14" t="n">
        <v>2349.98</v>
      </c>
      <c r="N695" s="14" t="n">
        <v>2334.36</v>
      </c>
      <c r="O695" s="14" t="n">
        <v>2181.38</v>
      </c>
      <c r="P695" s="4">
        <f>IF(O695="","",IF(F695&gt;O695,"Above","Below"))</f>
        <v/>
      </c>
      <c r="Q695" s="16" t="n">
        <v>240781</v>
      </c>
      <c r="R695" s="17" t="n">
        <v>0</v>
      </c>
      <c r="S695" s="17" t="n">
        <v>0</v>
      </c>
      <c r="T695" s="17" t="n">
        <v>0</v>
      </c>
      <c r="U695" s="18" t="n">
        <v>0</v>
      </c>
    </row>
    <row r="696">
      <c r="A696" s="13" t="n">
        <v>45482</v>
      </c>
      <c r="B696" s="4">
        <f>TEXT(A696,"ddd")</f>
        <v/>
      </c>
      <c r="C696" s="14" t="n">
        <v>2366.5</v>
      </c>
      <c r="D696" s="14" t="n">
        <v>2378.3</v>
      </c>
      <c r="E696" s="14" t="n">
        <v>2356</v>
      </c>
      <c r="F696" s="14" t="n">
        <v>2367.9</v>
      </c>
      <c r="G696" s="9">
        <f>F696-F695</f>
        <v/>
      </c>
      <c r="H696" s="10">
        <f>IF(F695=0,0,G696/F695)</f>
        <v/>
      </c>
      <c r="I696" s="8">
        <f>D696-E696</f>
        <v/>
      </c>
      <c r="J696" s="4">
        <f>IF(F696&gt;C696,"Up",IF(F696&lt;C696,"Down","Flat"))</f>
        <v/>
      </c>
      <c r="K696" s="14" t="n">
        <v>33.77</v>
      </c>
      <c r="L696" s="15" t="n">
        <v>53.46</v>
      </c>
      <c r="M696" s="14" t="n">
        <v>2351.69</v>
      </c>
      <c r="N696" s="14" t="n">
        <v>2335.67</v>
      </c>
      <c r="O696" s="14" t="n">
        <v>2183.23</v>
      </c>
      <c r="P696" s="4">
        <f>IF(O696="","",IF(F696&gt;O696,"Above","Below"))</f>
        <v/>
      </c>
      <c r="Q696" s="16" t="n">
        <v>252489</v>
      </c>
      <c r="R696" s="17" t="n">
        <v>0</v>
      </c>
      <c r="S696" s="17" t="n">
        <v>0</v>
      </c>
      <c r="T696" s="17" t="n">
        <v>0</v>
      </c>
      <c r="U696" s="18" t="n">
        <v>0</v>
      </c>
    </row>
    <row r="697">
      <c r="A697" s="13" t="n">
        <v>45483</v>
      </c>
      <c r="B697" s="4">
        <f>TEXT(A697,"ddd")</f>
        <v/>
      </c>
      <c r="C697" s="14" t="n">
        <v>2371</v>
      </c>
      <c r="D697" s="14" t="n">
        <v>2393.4</v>
      </c>
      <c r="E697" s="14" t="n">
        <v>2369.7</v>
      </c>
      <c r="F697" s="14" t="n">
        <v>2379.7</v>
      </c>
      <c r="G697" s="9">
        <f>F697-F696</f>
        <v/>
      </c>
      <c r="H697" s="10">
        <f>IF(F696=0,0,G697/F696)</f>
        <v/>
      </c>
      <c r="I697" s="8">
        <f>D697-E697</f>
        <v/>
      </c>
      <c r="J697" s="4">
        <f>IF(F697&gt;C697,"Up",IF(F697&lt;C697,"Down","Flat"))</f>
        <v/>
      </c>
      <c r="K697" s="14" t="n">
        <v>33.18</v>
      </c>
      <c r="L697" s="15" t="n">
        <v>55.48</v>
      </c>
      <c r="M697" s="14" t="n">
        <v>2354.36</v>
      </c>
      <c r="N697" s="14" t="n">
        <v>2337.4</v>
      </c>
      <c r="O697" s="14" t="n">
        <v>2185.19</v>
      </c>
      <c r="P697" s="4">
        <f>IF(O697="","",IF(F697&gt;O697,"Above","Below"))</f>
        <v/>
      </c>
      <c r="Q697" s="16" t="n">
        <v>163900</v>
      </c>
      <c r="R697" s="17" t="n">
        <v>0</v>
      </c>
      <c r="S697" s="17" t="n">
        <v>0</v>
      </c>
      <c r="T697" s="17" t="n">
        <v>0</v>
      </c>
      <c r="U697" s="18" t="n">
        <v>0</v>
      </c>
    </row>
    <row r="698">
      <c r="A698" s="13" t="n">
        <v>45484</v>
      </c>
      <c r="B698" s="4">
        <f>TEXT(A698,"ddd")</f>
        <v/>
      </c>
      <c r="C698" s="14" t="n">
        <v>2377.4</v>
      </c>
      <c r="D698" s="14" t="n">
        <v>2430.4</v>
      </c>
      <c r="E698" s="14" t="n">
        <v>2376.8</v>
      </c>
      <c r="F698" s="14" t="n">
        <v>2421.9</v>
      </c>
      <c r="G698" s="9">
        <f>F698-F697</f>
        <v/>
      </c>
      <c r="H698" s="10">
        <f>IF(F697=0,0,G698/F697)</f>
        <v/>
      </c>
      <c r="I698" s="8">
        <f>D698-E698</f>
        <v/>
      </c>
      <c r="J698" s="4">
        <f>IF(F698&gt;C698,"Up",IF(F698&lt;C698,"Down","Flat"))</f>
        <v/>
      </c>
      <c r="K698" s="14" t="n">
        <v>34.64</v>
      </c>
      <c r="L698" s="15" t="n">
        <v>61.85</v>
      </c>
      <c r="M698" s="14" t="n">
        <v>2360.79</v>
      </c>
      <c r="N698" s="14" t="n">
        <v>2340.71</v>
      </c>
      <c r="O698" s="14" t="n">
        <v>2187.54</v>
      </c>
      <c r="P698" s="4">
        <f>IF(O698="","",IF(F698&gt;O698,"Above","Below"))</f>
        <v/>
      </c>
      <c r="Q698" s="16" t="n">
        <v>303520</v>
      </c>
      <c r="R698" s="17" t="n">
        <v>0</v>
      </c>
      <c r="S698" s="17" t="n">
        <v>0</v>
      </c>
      <c r="T698" s="17" t="n">
        <v>0</v>
      </c>
      <c r="U698" s="18" t="n">
        <v>0</v>
      </c>
    </row>
    <row r="699">
      <c r="A699" s="13" t="n">
        <v>45485</v>
      </c>
      <c r="B699" s="4">
        <f>TEXT(A699,"ddd")</f>
        <v/>
      </c>
      <c r="C699" s="14" t="n">
        <v>2421</v>
      </c>
      <c r="D699" s="14" t="n">
        <v>2423.2</v>
      </c>
      <c r="E699" s="14" t="n">
        <v>2396.1</v>
      </c>
      <c r="F699" s="14" t="n">
        <v>2420.7</v>
      </c>
      <c r="G699" s="9">
        <f>F699-F698</f>
        <v/>
      </c>
      <c r="H699" s="10">
        <f>IF(F698=0,0,G699/F698)</f>
        <v/>
      </c>
      <c r="I699" s="8">
        <f>D699-E699</f>
        <v/>
      </c>
      <c r="J699" s="4">
        <f>IF(F699&gt;C699,"Up",IF(F699&lt;C699,"Down","Flat"))</f>
        <v/>
      </c>
      <c r="K699" s="14" t="n">
        <v>34.1</v>
      </c>
      <c r="L699" s="15" t="n">
        <v>61.58</v>
      </c>
      <c r="M699" s="14" t="n">
        <v>2366.5</v>
      </c>
      <c r="N699" s="14" t="n">
        <v>2343.85</v>
      </c>
      <c r="O699" s="14" t="n">
        <v>2189.86</v>
      </c>
      <c r="P699" s="4">
        <f>IF(O699="","",IF(F699&gt;O699,"Above","Below"))</f>
        <v/>
      </c>
      <c r="Q699" s="16" t="n">
        <v>220933</v>
      </c>
      <c r="R699" s="17" t="n">
        <v>0</v>
      </c>
      <c r="S699" s="17" t="n">
        <v>0</v>
      </c>
      <c r="T699" s="17" t="n">
        <v>0</v>
      </c>
      <c r="U699" s="18" t="n">
        <v>0</v>
      </c>
    </row>
    <row r="700">
      <c r="A700" s="13" t="n">
        <v>45488</v>
      </c>
      <c r="B700" s="4">
        <f>TEXT(A700,"ddd")</f>
        <v/>
      </c>
      <c r="C700" s="14" t="n">
        <v>2419.3</v>
      </c>
      <c r="D700" s="14" t="n">
        <v>2445</v>
      </c>
      <c r="E700" s="14" t="n">
        <v>2406.1</v>
      </c>
      <c r="F700" s="14" t="n">
        <v>2428.9</v>
      </c>
      <c r="G700" s="9">
        <f>F700-F699</f>
        <v/>
      </c>
      <c r="H700" s="10">
        <f>IF(F699=0,0,G700/F699)</f>
        <v/>
      </c>
      <c r="I700" s="8">
        <f>D700-E700</f>
        <v/>
      </c>
      <c r="J700" s="4">
        <f>IF(F700&gt;C700,"Up",IF(F700&lt;C700,"Down","Flat"))</f>
        <v/>
      </c>
      <c r="K700" s="14" t="n">
        <v>34.44</v>
      </c>
      <c r="L700" s="15" t="n">
        <v>62.78</v>
      </c>
      <c r="M700" s="14" t="n">
        <v>2372.44</v>
      </c>
      <c r="N700" s="14" t="n">
        <v>2347.18</v>
      </c>
      <c r="O700" s="14" t="n">
        <v>2192.24</v>
      </c>
      <c r="P700" s="4">
        <f>IF(O700="","",IF(F700&gt;O700,"Above","Below"))</f>
        <v/>
      </c>
      <c r="Q700" s="16" t="n">
        <v>193535</v>
      </c>
      <c r="R700" s="17" t="n">
        <v>0</v>
      </c>
      <c r="S700" s="17" t="n">
        <v>0</v>
      </c>
      <c r="T700" s="17" t="n">
        <v>0</v>
      </c>
      <c r="U700" s="18" t="n">
        <v>0</v>
      </c>
    </row>
    <row r="701">
      <c r="A701" s="13" t="n">
        <v>45489</v>
      </c>
      <c r="B701" s="4">
        <f>TEXT(A701,"ddd")</f>
        <v/>
      </c>
      <c r="C701" s="14" t="n">
        <v>2427.1</v>
      </c>
      <c r="D701" s="14" t="n">
        <v>2474.5</v>
      </c>
      <c r="E701" s="14" t="n">
        <v>2424.5</v>
      </c>
      <c r="F701" s="14" t="n">
        <v>2467.8</v>
      </c>
      <c r="G701" s="9">
        <f>F701-F700</f>
        <v/>
      </c>
      <c r="H701" s="10">
        <f>IF(F700=0,0,G701/F700)</f>
        <v/>
      </c>
      <c r="I701" s="8">
        <f>D701-E701</f>
        <v/>
      </c>
      <c r="J701" s="4">
        <f>IF(F701&gt;C701,"Up",IF(F701&lt;C701,"Down","Flat"))</f>
        <v/>
      </c>
      <c r="K701" s="14" t="n">
        <v>35.55</v>
      </c>
      <c r="L701" s="15" t="n">
        <v>67.89</v>
      </c>
      <c r="M701" s="14" t="n">
        <v>2381.52</v>
      </c>
      <c r="N701" s="14" t="n">
        <v>2351.91</v>
      </c>
      <c r="O701" s="14" t="n">
        <v>2194.98</v>
      </c>
      <c r="P701" s="4">
        <f>IF(O701="","",IF(F701&gt;O701,"Above","Below"))</f>
        <v/>
      </c>
      <c r="Q701" s="16" t="n">
        <v>246085</v>
      </c>
      <c r="R701" s="17" t="n">
        <v>0</v>
      </c>
      <c r="S701" s="17" t="n">
        <v>0</v>
      </c>
      <c r="T701" s="17" t="n">
        <v>0</v>
      </c>
      <c r="U701" s="18" t="n">
        <v>0</v>
      </c>
    </row>
    <row r="702">
      <c r="A702" s="13" t="n">
        <v>45490</v>
      </c>
      <c r="B702" s="4">
        <f>TEXT(A702,"ddd")</f>
        <v/>
      </c>
      <c r="C702" s="14" t="n">
        <v>2473.2</v>
      </c>
      <c r="D702" s="14" t="n">
        <v>2488.4</v>
      </c>
      <c r="E702" s="14" t="n">
        <v>2455.5</v>
      </c>
      <c r="F702" s="14" t="n">
        <v>2459.9</v>
      </c>
      <c r="G702" s="9">
        <f>F702-F701</f>
        <v/>
      </c>
      <c r="H702" s="10">
        <f>IF(F701=0,0,G702/F701)</f>
        <v/>
      </c>
      <c r="I702" s="8">
        <f>D702-E702</f>
        <v/>
      </c>
      <c r="J702" s="4">
        <f>IF(F702&gt;C702,"Up",IF(F702&lt;C702,"Down","Flat"))</f>
        <v/>
      </c>
      <c r="K702" s="14" t="n">
        <v>35.36</v>
      </c>
      <c r="L702" s="15" t="n">
        <v>65.91</v>
      </c>
      <c r="M702" s="14" t="n">
        <v>2388.99</v>
      </c>
      <c r="N702" s="14" t="n">
        <v>2356.15</v>
      </c>
      <c r="O702" s="14" t="n">
        <v>2197.62</v>
      </c>
      <c r="P702" s="4">
        <f>IF(O702="","",IF(F702&gt;O702,"Above","Below"))</f>
        <v/>
      </c>
      <c r="Q702" s="16" t="n">
        <v>259540</v>
      </c>
      <c r="R702" s="17" t="n">
        <v>0</v>
      </c>
      <c r="S702" s="17" t="n">
        <v>0</v>
      </c>
      <c r="T702" s="17" t="n">
        <v>0</v>
      </c>
      <c r="U702" s="18" t="n">
        <v>0</v>
      </c>
    </row>
    <row r="703">
      <c r="A703" s="13" t="n">
        <v>45491</v>
      </c>
      <c r="B703" s="4">
        <f>TEXT(A703,"ddd")</f>
        <v/>
      </c>
      <c r="C703" s="14" t="n">
        <v>2462.5</v>
      </c>
      <c r="D703" s="14" t="n">
        <v>2478.5</v>
      </c>
      <c r="E703" s="14" t="n">
        <v>2442.9</v>
      </c>
      <c r="F703" s="14" t="n">
        <v>2456.4</v>
      </c>
      <c r="G703" s="9">
        <f>F703-F702</f>
        <v/>
      </c>
      <c r="H703" s="10">
        <f>IF(F702=0,0,G703/F702)</f>
        <v/>
      </c>
      <c r="I703" s="8">
        <f>D703-E703</f>
        <v/>
      </c>
      <c r="J703" s="4">
        <f>IF(F703&gt;C703,"Up",IF(F703&lt;C703,"Down","Flat"))</f>
        <v/>
      </c>
      <c r="K703" s="14" t="n">
        <v>35.38</v>
      </c>
      <c r="L703" s="15" t="n">
        <v>65</v>
      </c>
      <c r="M703" s="14" t="n">
        <v>2395.41</v>
      </c>
      <c r="N703" s="14" t="n">
        <v>2360.08</v>
      </c>
      <c r="O703" s="14" t="n">
        <v>2200.19</v>
      </c>
      <c r="P703" s="4">
        <f>IF(O703="","",IF(F703&gt;O703,"Above","Below"))</f>
        <v/>
      </c>
      <c r="Q703" s="16" t="n">
        <v>192770</v>
      </c>
      <c r="R703" s="17" t="n">
        <v>0</v>
      </c>
      <c r="S703" s="17" t="n">
        <v>0</v>
      </c>
      <c r="T703" s="17" t="n">
        <v>0</v>
      </c>
      <c r="U703" s="18" t="n">
        <v>0</v>
      </c>
    </row>
    <row r="704">
      <c r="A704" s="13" t="n">
        <v>45492</v>
      </c>
      <c r="B704" s="4">
        <f>TEXT(A704,"ddd")</f>
        <v/>
      </c>
      <c r="C704" s="14" t="n">
        <v>2448</v>
      </c>
      <c r="D704" s="14" t="n">
        <v>2448.4</v>
      </c>
      <c r="E704" s="14" t="n">
        <v>2395.7</v>
      </c>
      <c r="F704" s="14" t="n">
        <v>2399.1</v>
      </c>
      <c r="G704" s="9">
        <f>F704-F703</f>
        <v/>
      </c>
      <c r="H704" s="10">
        <f>IF(F703=0,0,G704/F703)</f>
        <v/>
      </c>
      <c r="I704" s="8">
        <f>D704-E704</f>
        <v/>
      </c>
      <c r="J704" s="4">
        <f>IF(F704&gt;C704,"Up",IF(F704&lt;C704,"Down","Flat"))</f>
        <v/>
      </c>
      <c r="K704" s="14" t="n">
        <v>37.19</v>
      </c>
      <c r="L704" s="15" t="n">
        <v>52.35</v>
      </c>
      <c r="M704" s="14" t="n">
        <v>2395.76</v>
      </c>
      <c r="N704" s="14" t="n">
        <v>2361.61</v>
      </c>
      <c r="O704" s="14" t="n">
        <v>2202.17</v>
      </c>
      <c r="P704" s="4">
        <f>IF(O704="","",IF(F704&gt;O704,"Above","Below"))</f>
        <v/>
      </c>
      <c r="Q704" s="16" t="n">
        <v>254408</v>
      </c>
      <c r="R704" s="17" t="n">
        <v>0</v>
      </c>
      <c r="S704" s="17" t="n">
        <v>0</v>
      </c>
      <c r="T704" s="17" t="n">
        <v>0</v>
      </c>
      <c r="U704" s="18" t="n">
        <v>0</v>
      </c>
    </row>
    <row r="705">
      <c r="A705" s="13" t="n">
        <v>45495</v>
      </c>
      <c r="B705" s="4">
        <f>TEXT(A705,"ddd")</f>
        <v/>
      </c>
      <c r="C705" s="14" t="n">
        <v>2403.7</v>
      </c>
      <c r="D705" s="14" t="n">
        <v>2414.4</v>
      </c>
      <c r="E705" s="14" t="n">
        <v>2385.2</v>
      </c>
      <c r="F705" s="14" t="n">
        <v>2394.7</v>
      </c>
      <c r="G705" s="9">
        <f>F705-F704</f>
        <v/>
      </c>
      <c r="H705" s="10">
        <f>IF(F704=0,0,G705/F704)</f>
        <v/>
      </c>
      <c r="I705" s="8">
        <f>D705-E705</f>
        <v/>
      </c>
      <c r="J705" s="4">
        <f>IF(F705&gt;C705,"Up",IF(F705&lt;C705,"Down","Flat"))</f>
        <v/>
      </c>
      <c r="K705" s="14" t="n">
        <v>36.62</v>
      </c>
      <c r="L705" s="15" t="n">
        <v>51.52</v>
      </c>
      <c r="M705" s="14" t="n">
        <v>2395.66</v>
      </c>
      <c r="N705" s="14" t="n">
        <v>2362.91</v>
      </c>
      <c r="O705" s="14" t="n">
        <v>2204.09</v>
      </c>
      <c r="P705" s="4">
        <f>IF(O705="","",IF(F705&gt;O705,"Above","Below"))</f>
        <v/>
      </c>
      <c r="Q705" s="16" t="n">
        <v>197562</v>
      </c>
      <c r="R705" s="17" t="n">
        <v>0</v>
      </c>
      <c r="S705" s="17" t="n">
        <v>0</v>
      </c>
      <c r="T705" s="17" t="n">
        <v>0</v>
      </c>
      <c r="U705" s="18" t="n">
        <v>0</v>
      </c>
    </row>
    <row r="706">
      <c r="A706" s="13" t="n">
        <v>45496</v>
      </c>
      <c r="B706" s="4">
        <f>TEXT(A706,"ddd")</f>
        <v/>
      </c>
      <c r="C706" s="14" t="n">
        <v>2398</v>
      </c>
      <c r="D706" s="14" t="n">
        <v>2413.5</v>
      </c>
      <c r="E706" s="14" t="n">
        <v>2389.2</v>
      </c>
      <c r="F706" s="14" t="n">
        <v>2407.3</v>
      </c>
      <c r="G706" s="9">
        <f>F706-F705</f>
        <v/>
      </c>
      <c r="H706" s="10">
        <f>IF(F705=0,0,G706/F705)</f>
        <v/>
      </c>
      <c r="I706" s="8">
        <f>D706-E706</f>
        <v/>
      </c>
      <c r="J706" s="4">
        <f>IF(F706&gt;C706,"Up",IF(F706&lt;C706,"Down","Flat"))</f>
        <v/>
      </c>
      <c r="K706" s="14" t="n">
        <v>35.74</v>
      </c>
      <c r="L706" s="15" t="n">
        <v>53.78</v>
      </c>
      <c r="M706" s="14" t="n">
        <v>2396.77</v>
      </c>
      <c r="N706" s="14" t="n">
        <v>2364.65</v>
      </c>
      <c r="O706" s="14" t="n">
        <v>2206.11</v>
      </c>
      <c r="P706" s="4">
        <f>IF(O706="","",IF(F706&gt;O706,"Above","Below"))</f>
        <v/>
      </c>
      <c r="Q706" s="16" t="n">
        <v>171191</v>
      </c>
      <c r="R706" s="17" t="n">
        <v>0</v>
      </c>
      <c r="S706" s="17" t="n">
        <v>0</v>
      </c>
      <c r="T706" s="17" t="n">
        <v>0</v>
      </c>
      <c r="U706" s="18" t="n">
        <v>0</v>
      </c>
    </row>
    <row r="707">
      <c r="A707" s="13" t="n">
        <v>45497</v>
      </c>
      <c r="B707" s="4">
        <f>TEXT(A707,"ddd")</f>
        <v/>
      </c>
      <c r="C707" s="14" t="n">
        <v>2410.7</v>
      </c>
      <c r="D707" s="14" t="n">
        <v>2433</v>
      </c>
      <c r="E707" s="14" t="n">
        <v>2397</v>
      </c>
      <c r="F707" s="14" t="n">
        <v>2415.7</v>
      </c>
      <c r="G707" s="9">
        <f>F707-F706</f>
        <v/>
      </c>
      <c r="H707" s="10">
        <f>IF(F706=0,0,G707/F706)</f>
        <v/>
      </c>
      <c r="I707" s="8">
        <f>D707-E707</f>
        <v/>
      </c>
      <c r="J707" s="4">
        <f>IF(F707&gt;C707,"Up",IF(F707&lt;C707,"Down","Flat"))</f>
        <v/>
      </c>
      <c r="K707" s="14" t="n">
        <v>35.76</v>
      </c>
      <c r="L707" s="15" t="n">
        <v>55.27</v>
      </c>
      <c r="M707" s="14" t="n">
        <v>2398.57</v>
      </c>
      <c r="N707" s="14" t="n">
        <v>2366.65</v>
      </c>
      <c r="O707" s="14" t="n">
        <v>2208.2</v>
      </c>
      <c r="P707" s="4">
        <f>IF(O707="","",IF(F707&gt;O707,"Above","Below"))</f>
        <v/>
      </c>
      <c r="Q707" s="16" t="n">
        <v>245884</v>
      </c>
      <c r="R707" s="17" t="n">
        <v>0</v>
      </c>
      <c r="S707" s="17" t="n">
        <v>0</v>
      </c>
      <c r="T707" s="17" t="n">
        <v>0</v>
      </c>
      <c r="U707" s="18" t="n">
        <v>0</v>
      </c>
    </row>
    <row r="708">
      <c r="A708" s="13" t="n">
        <v>45498</v>
      </c>
      <c r="B708" s="4">
        <f>TEXT(A708,"ddd")</f>
        <v/>
      </c>
      <c r="C708" s="14" t="n">
        <v>2398.1</v>
      </c>
      <c r="D708" s="14" t="n">
        <v>2400.8</v>
      </c>
      <c r="E708" s="14" t="n">
        <v>2351.9</v>
      </c>
      <c r="F708" s="14" t="n">
        <v>2353.5</v>
      </c>
      <c r="G708" s="9">
        <f>F708-F707</f>
        <v/>
      </c>
      <c r="H708" s="10">
        <f>IF(F707=0,0,G708/F707)</f>
        <v/>
      </c>
      <c r="I708" s="8">
        <f>D708-E708</f>
        <v/>
      </c>
      <c r="J708" s="4">
        <f>IF(F708&gt;C708,"Up",IF(F708&lt;C708,"Down","Flat"))</f>
        <v/>
      </c>
      <c r="K708" s="14" t="n">
        <v>37.76</v>
      </c>
      <c r="L708" s="15" t="n">
        <v>43.93</v>
      </c>
      <c r="M708" s="14" t="n">
        <v>2394.28</v>
      </c>
      <c r="N708" s="14" t="n">
        <v>2366.14</v>
      </c>
      <c r="O708" s="14" t="n">
        <v>2209.64</v>
      </c>
      <c r="P708" s="4">
        <f>IF(O708="","",IF(F708&gt;O708,"Above","Below"))</f>
        <v/>
      </c>
      <c r="Q708" s="16" t="n">
        <v>294897</v>
      </c>
      <c r="R708" s="17" t="n">
        <v>0</v>
      </c>
      <c r="S708" s="17" t="n">
        <v>0</v>
      </c>
      <c r="T708" s="17" t="n">
        <v>0</v>
      </c>
      <c r="U708" s="18" t="n">
        <v>0</v>
      </c>
    </row>
    <row r="709">
      <c r="A709" s="13" t="n">
        <v>45499</v>
      </c>
      <c r="B709" s="4">
        <f>TEXT(A709,"ddd")</f>
        <v/>
      </c>
      <c r="C709" s="14" t="n">
        <v>2363.8</v>
      </c>
      <c r="D709" s="14" t="n">
        <v>2389.7</v>
      </c>
      <c r="E709" s="14" t="n">
        <v>2354.6</v>
      </c>
      <c r="F709" s="14" t="n">
        <v>2381</v>
      </c>
      <c r="G709" s="9">
        <f>F709-F708</f>
        <v/>
      </c>
      <c r="H709" s="10">
        <f>IF(F708=0,0,G709/F708)</f>
        <v/>
      </c>
      <c r="I709" s="8">
        <f>D709-E709</f>
        <v/>
      </c>
      <c r="J709" s="4">
        <f>IF(F709&gt;C709,"Up",IF(F709&lt;C709,"Down","Flat"))</f>
        <v/>
      </c>
      <c r="K709" s="14" t="n">
        <v>37.65</v>
      </c>
      <c r="L709" s="15" t="n">
        <v>48.92</v>
      </c>
      <c r="M709" s="14" t="n">
        <v>2393.01</v>
      </c>
      <c r="N709" s="14" t="n">
        <v>2366.72</v>
      </c>
      <c r="O709" s="14" t="n">
        <v>2211.35</v>
      </c>
      <c r="P709" s="4">
        <f>IF(O709="","",IF(F709&gt;O709,"Above","Below"))</f>
        <v/>
      </c>
      <c r="Q709" s="16" t="n">
        <v>154523</v>
      </c>
      <c r="R709" s="17" t="n">
        <v>0</v>
      </c>
      <c r="S709" s="17" t="n">
        <v>0</v>
      </c>
      <c r="T709" s="17" t="n">
        <v>0</v>
      </c>
      <c r="U709" s="18" t="n">
        <v>0</v>
      </c>
    </row>
    <row r="710">
      <c r="A710" s="13" t="n">
        <v>45502</v>
      </c>
      <c r="B710" s="4">
        <f>TEXT(A710,"ddd")</f>
        <v/>
      </c>
      <c r="C710" s="14" t="n">
        <v>2386.9</v>
      </c>
      <c r="D710" s="14" t="n">
        <v>2402.1</v>
      </c>
      <c r="E710" s="14" t="n">
        <v>2367.3</v>
      </c>
      <c r="F710" s="14" t="n">
        <v>2377.8</v>
      </c>
      <c r="G710" s="9">
        <f>F710-F709</f>
        <v/>
      </c>
      <c r="H710" s="10">
        <f>IF(F709=0,0,G710/F709)</f>
        <v/>
      </c>
      <c r="I710" s="8">
        <f>D710-E710</f>
        <v/>
      </c>
      <c r="J710" s="4">
        <f>IF(F710&gt;C710,"Up",IF(F710&lt;C710,"Down","Flat"))</f>
        <v/>
      </c>
      <c r="K710" s="14" t="n">
        <v>37.45</v>
      </c>
      <c r="L710" s="15" t="n">
        <v>48.38</v>
      </c>
      <c r="M710" s="14" t="n">
        <v>2391.56</v>
      </c>
      <c r="N710" s="14" t="n">
        <v>2367.15</v>
      </c>
      <c r="O710" s="14" t="n">
        <v>2213</v>
      </c>
      <c r="P710" s="4">
        <f>IF(O710="","",IF(F710&gt;O710,"Above","Below"))</f>
        <v/>
      </c>
      <c r="Q710" s="16" t="n">
        <v>126409</v>
      </c>
      <c r="R710" s="17" t="n">
        <v>0</v>
      </c>
      <c r="S710" s="17" t="n">
        <v>0</v>
      </c>
      <c r="T710" s="17" t="n">
        <v>0</v>
      </c>
      <c r="U710" s="18" t="n">
        <v>0</v>
      </c>
    </row>
    <row r="711">
      <c r="A711" s="13" t="n">
        <v>45503</v>
      </c>
      <c r="B711" s="4">
        <f>TEXT(A711,"ddd")</f>
        <v/>
      </c>
      <c r="C711" s="14" t="n">
        <v>2380.9</v>
      </c>
      <c r="D711" s="14" t="n">
        <v>2409.3</v>
      </c>
      <c r="E711" s="14" t="n">
        <v>2373.8</v>
      </c>
      <c r="F711" s="14" t="n">
        <v>2405</v>
      </c>
      <c r="G711" s="9">
        <f>F711-F710</f>
        <v/>
      </c>
      <c r="H711" s="10">
        <f>IF(F710=0,0,G711/F710)</f>
        <v/>
      </c>
      <c r="I711" s="8">
        <f>D711-E711</f>
        <v/>
      </c>
      <c r="J711" s="4">
        <f>IF(F711&gt;C711,"Up",IF(F711&lt;C711,"Down","Flat"))</f>
        <v/>
      </c>
      <c r="K711" s="14" t="n">
        <v>37.31</v>
      </c>
      <c r="L711" s="15" t="n">
        <v>53.12</v>
      </c>
      <c r="M711" s="14" t="n">
        <v>2392.84</v>
      </c>
      <c r="N711" s="14" t="n">
        <v>2368.64</v>
      </c>
      <c r="O711" s="14" t="n">
        <v>2214.91</v>
      </c>
      <c r="P711" s="4">
        <f>IF(O711="","",IF(F711&gt;O711,"Above","Below"))</f>
        <v/>
      </c>
      <c r="Q711" s="16" t="n">
        <v>25944</v>
      </c>
      <c r="R711" s="17" t="n">
        <v>0</v>
      </c>
      <c r="S711" s="17" t="n">
        <v>0</v>
      </c>
      <c r="T711" s="17" t="n">
        <v>0</v>
      </c>
      <c r="U711" s="18" t="n">
        <v>0</v>
      </c>
    </row>
    <row r="712">
      <c r="A712" s="13" t="n">
        <v>45504</v>
      </c>
      <c r="B712" s="4">
        <f>TEXT(A712,"ddd")</f>
        <v/>
      </c>
      <c r="C712" s="14" t="n">
        <v>2407.1</v>
      </c>
      <c r="D712" s="14" t="n">
        <v>2447.6</v>
      </c>
      <c r="E712" s="14" t="n">
        <v>2402.8</v>
      </c>
      <c r="F712" s="14" t="n">
        <v>2426.5</v>
      </c>
      <c r="G712" s="9">
        <f>F712-F711</f>
        <v/>
      </c>
      <c r="H712" s="10">
        <f>IF(F711=0,0,G712/F711)</f>
        <v/>
      </c>
      <c r="I712" s="8">
        <f>D712-E712</f>
        <v/>
      </c>
      <c r="J712" s="4">
        <f>IF(F712&gt;C712,"Up",IF(F712&lt;C712,"Down","Flat"))</f>
        <v/>
      </c>
      <c r="K712" s="14" t="n">
        <v>37.84</v>
      </c>
      <c r="L712" s="15" t="n">
        <v>56.51</v>
      </c>
      <c r="M712" s="14" t="n">
        <v>2396.05</v>
      </c>
      <c r="N712" s="14" t="n">
        <v>2370.91</v>
      </c>
      <c r="O712" s="14" t="n">
        <v>2217.02</v>
      </c>
      <c r="P712" s="4">
        <f>IF(O712="","",IF(F712&gt;O712,"Above","Below"))</f>
        <v/>
      </c>
      <c r="Q712" s="16" t="n">
        <v>176268</v>
      </c>
      <c r="R712" s="17" t="n">
        <v>0</v>
      </c>
      <c r="S712" s="17" t="n">
        <v>0</v>
      </c>
      <c r="T712" s="17" t="n">
        <v>0</v>
      </c>
      <c r="U712" s="18" t="n">
        <v>0</v>
      </c>
    </row>
    <row r="713">
      <c r="A713" s="13" t="n">
        <v>45505</v>
      </c>
      <c r="B713" s="4">
        <f>TEXT(A713,"ddd")</f>
        <v/>
      </c>
      <c r="C713" s="14" t="n">
        <v>2493.4</v>
      </c>
      <c r="D713" s="14" t="n">
        <v>2506.6</v>
      </c>
      <c r="E713" s="14" t="n">
        <v>2474</v>
      </c>
      <c r="F713" s="14" t="n">
        <v>2480.8</v>
      </c>
      <c r="G713" s="9">
        <f>F713-F712</f>
        <v/>
      </c>
      <c r="H713" s="10">
        <f>IF(F712=0,0,G713/F712)</f>
        <v/>
      </c>
      <c r="I713" s="8">
        <f>D713-E713</f>
        <v/>
      </c>
      <c r="J713" s="4">
        <f>IF(F713&gt;C713,"Up",IF(F713&lt;C713,"Down","Flat"))</f>
        <v/>
      </c>
      <c r="K713" s="14" t="n">
        <v>40.86</v>
      </c>
      <c r="L713" s="15" t="n">
        <v>63.67</v>
      </c>
      <c r="M713" s="14" t="n">
        <v>2404.12</v>
      </c>
      <c r="N713" s="14" t="n">
        <v>2375.22</v>
      </c>
      <c r="O713" s="14" t="n">
        <v>2219.64</v>
      </c>
      <c r="P713" s="4">
        <f>IF(O713="","",IF(F713&gt;O713,"Above","Below"))</f>
        <v/>
      </c>
      <c r="Q713" s="16" t="n">
        <v>219834</v>
      </c>
      <c r="R713" s="17" t="n">
        <v>0</v>
      </c>
      <c r="S713" s="17" t="n">
        <v>0</v>
      </c>
      <c r="T713" s="17" t="n">
        <v>0</v>
      </c>
      <c r="U713" s="18" t="n">
        <v>0</v>
      </c>
    </row>
    <row r="714">
      <c r="A714" s="13" t="n">
        <v>45506</v>
      </c>
      <c r="B714" s="4">
        <f>TEXT(A714,"ddd")</f>
        <v/>
      </c>
      <c r="C714" s="14" t="n">
        <v>2490.8</v>
      </c>
      <c r="D714" s="14" t="n">
        <v>2522.5</v>
      </c>
      <c r="E714" s="14" t="n">
        <v>2453.1</v>
      </c>
      <c r="F714" s="14" t="n">
        <v>2469.8</v>
      </c>
      <c r="G714" s="9">
        <f>F714-F713</f>
        <v/>
      </c>
      <c r="H714" s="10">
        <f>IF(F713=0,0,G714/F713)</f>
        <v/>
      </c>
      <c r="I714" s="8">
        <f>D714-E714</f>
        <v/>
      </c>
      <c r="J714" s="4">
        <f>IF(F714&gt;C714,"Up",IF(F714&lt;C714,"Down","Flat"))</f>
        <v/>
      </c>
      <c r="K714" s="14" t="n">
        <v>42.9</v>
      </c>
      <c r="L714" s="15" t="n">
        <v>61.46</v>
      </c>
      <c r="M714" s="14" t="n">
        <v>2410.38</v>
      </c>
      <c r="N714" s="14" t="n">
        <v>2378.93</v>
      </c>
      <c r="O714" s="14" t="n">
        <v>2222.13</v>
      </c>
      <c r="P714" s="4">
        <f>IF(O714="","",IF(F714&gt;O714,"Above","Below"))</f>
        <v/>
      </c>
      <c r="Q714" s="16" t="n">
        <v>309937</v>
      </c>
      <c r="R714" s="17" t="n">
        <v>0</v>
      </c>
      <c r="S714" s="17" t="n">
        <v>0</v>
      </c>
      <c r="T714" s="17" t="n">
        <v>0</v>
      </c>
      <c r="U714" s="18" t="n">
        <v>0</v>
      </c>
    </row>
    <row r="715">
      <c r="A715" s="13" t="n">
        <v>45509</v>
      </c>
      <c r="B715" s="4">
        <f>TEXT(A715,"ddd")</f>
        <v/>
      </c>
      <c r="C715" s="14" t="n">
        <v>2490.3</v>
      </c>
      <c r="D715" s="14" t="n">
        <v>2500.8</v>
      </c>
      <c r="E715" s="14" t="n">
        <v>2403.8</v>
      </c>
      <c r="F715" s="14" t="n">
        <v>2444.4</v>
      </c>
      <c r="G715" s="9">
        <f>F715-F714</f>
        <v/>
      </c>
      <c r="H715" s="10">
        <f>IF(F714=0,0,G715/F714)</f>
        <v/>
      </c>
      <c r="I715" s="8">
        <f>D715-E715</f>
        <v/>
      </c>
      <c r="J715" s="4">
        <f>IF(F715&gt;C715,"Up",IF(F715&lt;C715,"Down","Flat"))</f>
        <v/>
      </c>
      <c r="K715" s="14" t="n">
        <v>46.76</v>
      </c>
      <c r="L715" s="15" t="n">
        <v>56.58</v>
      </c>
      <c r="M715" s="14" t="n">
        <v>2413.62</v>
      </c>
      <c r="N715" s="14" t="n">
        <v>2381.49</v>
      </c>
      <c r="O715" s="14" t="n">
        <v>2224.34</v>
      </c>
      <c r="P715" s="4">
        <f>IF(O715="","",IF(F715&gt;O715,"Above","Below"))</f>
        <v/>
      </c>
      <c r="Q715" s="16" t="n">
        <v>352229</v>
      </c>
      <c r="R715" s="17" t="n">
        <v>0</v>
      </c>
      <c r="S715" s="17" t="n">
        <v>0</v>
      </c>
      <c r="T715" s="17" t="n">
        <v>0</v>
      </c>
      <c r="U715" s="18" t="n">
        <v>0</v>
      </c>
    </row>
    <row r="716">
      <c r="A716" s="13" t="n">
        <v>45510</v>
      </c>
      <c r="B716" s="4">
        <f>TEXT(A716,"ddd")</f>
        <v/>
      </c>
      <c r="C716" s="14" t="n">
        <v>2451.7</v>
      </c>
      <c r="D716" s="14" t="n">
        <v>2459.5</v>
      </c>
      <c r="E716" s="14" t="n">
        <v>2421.8</v>
      </c>
      <c r="F716" s="14" t="n">
        <v>2431.6</v>
      </c>
      <c r="G716" s="9">
        <f>F716-F715</f>
        <v/>
      </c>
      <c r="H716" s="10">
        <f>IF(F715=0,0,G716/F715)</f>
        <v/>
      </c>
      <c r="I716" s="8">
        <f>D716-E716</f>
        <v/>
      </c>
      <c r="J716" s="4">
        <f>IF(F716&gt;C716,"Up",IF(F716&lt;C716,"Down","Flat"))</f>
        <v/>
      </c>
      <c r="K716" s="14" t="n">
        <v>46.12</v>
      </c>
      <c r="L716" s="15" t="n">
        <v>54.25</v>
      </c>
      <c r="M716" s="14" t="n">
        <v>2415.33</v>
      </c>
      <c r="N716" s="14" t="n">
        <v>2383.46</v>
      </c>
      <c r="O716" s="14" t="n">
        <v>2226.41</v>
      </c>
      <c r="P716" s="4">
        <f>IF(O716="","",IF(F716&gt;O716,"Above","Below"))</f>
        <v/>
      </c>
      <c r="Q716" s="16" t="n">
        <v>186107</v>
      </c>
      <c r="R716" s="17" t="n">
        <v>0</v>
      </c>
      <c r="S716" s="17" t="n">
        <v>0</v>
      </c>
      <c r="T716" s="17" t="n">
        <v>0</v>
      </c>
      <c r="U716" s="18" t="n">
        <v>0</v>
      </c>
    </row>
    <row r="717">
      <c r="A717" s="13" t="n">
        <v>45511</v>
      </c>
      <c r="B717" s="4">
        <f>TEXT(A717,"ddd")</f>
        <v/>
      </c>
      <c r="C717" s="14" t="n">
        <v>2432.6</v>
      </c>
      <c r="D717" s="14" t="n">
        <v>2447.3</v>
      </c>
      <c r="E717" s="14" t="n">
        <v>2418.8</v>
      </c>
      <c r="F717" s="14" t="n">
        <v>2432.4</v>
      </c>
      <c r="G717" s="9">
        <f>F717-F716</f>
        <v/>
      </c>
      <c r="H717" s="10">
        <f>IF(F716=0,0,G717/F716)</f>
        <v/>
      </c>
      <c r="I717" s="8">
        <f>D717-E717</f>
        <v/>
      </c>
      <c r="J717" s="4">
        <f>IF(F717&gt;C717,"Up",IF(F717&lt;C717,"Down","Flat"))</f>
        <v/>
      </c>
      <c r="K717" s="14" t="n">
        <v>44.86</v>
      </c>
      <c r="L717" s="15" t="n">
        <v>54.38</v>
      </c>
      <c r="M717" s="14" t="n">
        <v>2416.95</v>
      </c>
      <c r="N717" s="14" t="n">
        <v>2385.38</v>
      </c>
      <c r="O717" s="14" t="n">
        <v>2228.46</v>
      </c>
      <c r="P717" s="4">
        <f>IF(O717="","",IF(F717&gt;O717,"Above","Below"))</f>
        <v/>
      </c>
      <c r="Q717" s="16" t="n">
        <v>166078</v>
      </c>
      <c r="R717" s="17" t="n">
        <v>0</v>
      </c>
      <c r="S717" s="17" t="n">
        <v>0</v>
      </c>
      <c r="T717" s="17" t="n">
        <v>0</v>
      </c>
      <c r="U717" s="18" t="n">
        <v>0</v>
      </c>
    </row>
    <row r="718">
      <c r="A718" s="13" t="n">
        <v>45512</v>
      </c>
      <c r="B718" s="4">
        <f>TEXT(A718,"ddd")</f>
        <v/>
      </c>
      <c r="C718" s="14" t="n">
        <v>2422.8</v>
      </c>
      <c r="D718" s="14" t="n">
        <v>2467.9</v>
      </c>
      <c r="E718" s="14" t="n">
        <v>2420.2</v>
      </c>
      <c r="F718" s="14" t="n">
        <v>2463.3</v>
      </c>
      <c r="G718" s="9">
        <f>F718-F717</f>
        <v/>
      </c>
      <c r="H718" s="10">
        <f>IF(F717=0,0,G718/F717)</f>
        <v/>
      </c>
      <c r="I718" s="8">
        <f>D718-E718</f>
        <v/>
      </c>
      <c r="J718" s="4">
        <f>IF(F718&gt;C718,"Up",IF(F718&lt;C718,"Down","Flat"))</f>
        <v/>
      </c>
      <c r="K718" s="14" t="n">
        <v>45.06</v>
      </c>
      <c r="L718" s="15" t="n">
        <v>59.09</v>
      </c>
      <c r="M718" s="14" t="n">
        <v>2421.37</v>
      </c>
      <c r="N718" s="14" t="n">
        <v>2388.43</v>
      </c>
      <c r="O718" s="14" t="n">
        <v>2230.79</v>
      </c>
      <c r="P718" s="4">
        <f>IF(O718="","",IF(F718&gt;O718,"Above","Below"))</f>
        <v/>
      </c>
      <c r="Q718" s="16" t="n">
        <v>178509</v>
      </c>
      <c r="R718" s="17" t="n">
        <v>0</v>
      </c>
      <c r="S718" s="17" t="n">
        <v>0</v>
      </c>
      <c r="T718" s="17" t="n">
        <v>0</v>
      </c>
      <c r="U718" s="18" t="n">
        <v>0</v>
      </c>
    </row>
    <row r="719">
      <c r="A719" s="13" t="n">
        <v>45513</v>
      </c>
      <c r="B719" s="4">
        <f>TEXT(A719,"ddd")</f>
        <v/>
      </c>
      <c r="C719" s="14" t="n">
        <v>2467.3</v>
      </c>
      <c r="D719" s="14" t="n">
        <v>2476.5</v>
      </c>
      <c r="E719" s="14" t="n">
        <v>2456.1</v>
      </c>
      <c r="F719" s="14" t="n">
        <v>2473.4</v>
      </c>
      <c r="G719" s="9">
        <f>F719-F718</f>
        <v/>
      </c>
      <c r="H719" s="10">
        <f>IF(F718=0,0,G719/F718)</f>
        <v/>
      </c>
      <c r="I719" s="8">
        <f>D719-E719</f>
        <v/>
      </c>
      <c r="J719" s="4">
        <f>IF(F719&gt;C719,"Up",IF(F719&lt;C719,"Down","Flat"))</f>
        <v/>
      </c>
      <c r="K719" s="14" t="n">
        <v>43.3</v>
      </c>
      <c r="L719" s="15" t="n">
        <v>60.53</v>
      </c>
      <c r="M719" s="14" t="n">
        <v>2426.32</v>
      </c>
      <c r="N719" s="14" t="n">
        <v>2391.77</v>
      </c>
      <c r="O719" s="14" t="n">
        <v>2233.21</v>
      </c>
      <c r="P719" s="4">
        <f>IF(O719="","",IF(F719&gt;O719,"Above","Below"))</f>
        <v/>
      </c>
      <c r="Q719" s="16" t="n">
        <v>152173</v>
      </c>
      <c r="R719" s="17" t="n">
        <v>0</v>
      </c>
      <c r="S719" s="17" t="n">
        <v>0</v>
      </c>
      <c r="T719" s="17" t="n">
        <v>0</v>
      </c>
      <c r="U719" s="18" t="n">
        <v>0</v>
      </c>
    </row>
    <row r="720">
      <c r="A720" s="13" t="n">
        <v>45516</v>
      </c>
      <c r="B720" s="4">
        <f>TEXT(A720,"ddd")</f>
        <v/>
      </c>
      <c r="C720" s="14" t="n">
        <v>2470.1</v>
      </c>
      <c r="D720" s="14" t="n">
        <v>2513.4</v>
      </c>
      <c r="E720" s="14" t="n">
        <v>2462.7</v>
      </c>
      <c r="F720" s="14" t="n">
        <v>2504</v>
      </c>
      <c r="G720" s="9">
        <f>F720-F719</f>
        <v/>
      </c>
      <c r="H720" s="10">
        <f>IF(F719=0,0,G720/F719)</f>
        <v/>
      </c>
      <c r="I720" s="8">
        <f>D720-E720</f>
        <v/>
      </c>
      <c r="J720" s="4">
        <f>IF(F720&gt;C720,"Up",IF(F720&lt;C720,"Down","Flat"))</f>
        <v/>
      </c>
      <c r="K720" s="14" t="n">
        <v>43.83</v>
      </c>
      <c r="L720" s="15" t="n">
        <v>64.58</v>
      </c>
      <c r="M720" s="14" t="n">
        <v>2433.72</v>
      </c>
      <c r="N720" s="14" t="n">
        <v>2396.17</v>
      </c>
      <c r="O720" s="14" t="n">
        <v>2235.9</v>
      </c>
      <c r="P720" s="4">
        <f>IF(O720="","",IF(F720&gt;O720,"Above","Below"))</f>
        <v/>
      </c>
      <c r="Q720" s="16" t="n">
        <v>171204</v>
      </c>
      <c r="R720" s="17" t="n">
        <v>0</v>
      </c>
      <c r="S720" s="17" t="n">
        <v>0</v>
      </c>
      <c r="T720" s="17" t="n">
        <v>0</v>
      </c>
      <c r="U720" s="18" t="n">
        <v>0</v>
      </c>
    </row>
    <row r="721">
      <c r="A721" s="13" t="n">
        <v>45517</v>
      </c>
      <c r="B721" s="4">
        <f>TEXT(A721,"ddd")</f>
        <v/>
      </c>
      <c r="C721" s="14" t="n">
        <v>2512.6</v>
      </c>
      <c r="D721" s="14" t="n">
        <v>2517.3</v>
      </c>
      <c r="E721" s="14" t="n">
        <v>2498.2</v>
      </c>
      <c r="F721" s="14" t="n">
        <v>2507.8</v>
      </c>
      <c r="G721" s="9">
        <f>F721-F720</f>
        <v/>
      </c>
      <c r="H721" s="10">
        <f>IF(F720=0,0,G721/F720)</f>
        <v/>
      </c>
      <c r="I721" s="8">
        <f>D721-E721</f>
        <v/>
      </c>
      <c r="J721" s="4">
        <f>IF(F721&gt;C721,"Up",IF(F721&lt;C721,"Down","Flat"))</f>
        <v/>
      </c>
      <c r="K721" s="14" t="n">
        <v>42.06</v>
      </c>
      <c r="L721" s="15" t="n">
        <v>65.06</v>
      </c>
      <c r="M721" s="14" t="n">
        <v>2440.78</v>
      </c>
      <c r="N721" s="14" t="n">
        <v>2400.54</v>
      </c>
      <c r="O721" s="14" t="n">
        <v>2238.61</v>
      </c>
      <c r="P721" s="4">
        <f>IF(O721="","",IF(F721&gt;O721,"Above","Below"))</f>
        <v/>
      </c>
      <c r="Q721" s="16" t="n">
        <v>155078</v>
      </c>
      <c r="R721" s="17" t="n">
        <v>0</v>
      </c>
      <c r="S721" s="17" t="n">
        <v>0</v>
      </c>
      <c r="T721" s="17" t="n">
        <v>0</v>
      </c>
      <c r="U721" s="18" t="n">
        <v>0</v>
      </c>
    </row>
    <row r="722">
      <c r="A722" s="13" t="n">
        <v>45518</v>
      </c>
      <c r="B722" s="4">
        <f>TEXT(A722,"ddd")</f>
        <v/>
      </c>
      <c r="C722" s="14" t="n">
        <v>2506.3</v>
      </c>
      <c r="D722" s="14" t="n">
        <v>2519.7</v>
      </c>
      <c r="E722" s="14" t="n">
        <v>2476.2</v>
      </c>
      <c r="F722" s="14" t="n">
        <v>2479.7</v>
      </c>
      <c r="G722" s="9">
        <f>F722-F721</f>
        <v/>
      </c>
      <c r="H722" s="10">
        <f>IF(F721=0,0,G722/F721)</f>
        <v/>
      </c>
      <c r="I722" s="8">
        <f>D722-E722</f>
        <v/>
      </c>
      <c r="J722" s="4">
        <f>IF(F722&gt;C722,"Up",IF(F722&lt;C722,"Down","Flat"))</f>
        <v/>
      </c>
      <c r="K722" s="14" t="n">
        <v>42.16</v>
      </c>
      <c r="L722" s="15" t="n">
        <v>58.72</v>
      </c>
      <c r="M722" s="14" t="n">
        <v>2444.48</v>
      </c>
      <c r="N722" s="14" t="n">
        <v>2403.65</v>
      </c>
      <c r="O722" s="14" t="n">
        <v>2241.01</v>
      </c>
      <c r="P722" s="4">
        <f>IF(O722="","",IF(F722&gt;O722,"Above","Below"))</f>
        <v/>
      </c>
      <c r="Q722" s="16" t="n">
        <v>187384</v>
      </c>
      <c r="R722" s="17" t="n">
        <v>0</v>
      </c>
      <c r="S722" s="17" t="n">
        <v>0</v>
      </c>
      <c r="T722" s="17" t="n">
        <v>0</v>
      </c>
      <c r="U722" s="18" t="n">
        <v>0</v>
      </c>
    </row>
    <row r="723">
      <c r="A723" s="13" t="n">
        <v>45519</v>
      </c>
      <c r="B723" s="4">
        <f>TEXT(A723,"ddd")</f>
        <v/>
      </c>
      <c r="C723" s="14" t="n">
        <v>2486.2</v>
      </c>
      <c r="D723" s="14" t="n">
        <v>2508</v>
      </c>
      <c r="E723" s="14" t="n">
        <v>2469.2</v>
      </c>
      <c r="F723" s="14" t="n">
        <v>2492.4</v>
      </c>
      <c r="G723" s="9">
        <f>F723-F722</f>
        <v/>
      </c>
      <c r="H723" s="10">
        <f>IF(F722=0,0,G723/F722)</f>
        <v/>
      </c>
      <c r="I723" s="8">
        <f>D723-E723</f>
        <v/>
      </c>
      <c r="J723" s="4">
        <f>IF(F723&gt;C723,"Up",IF(F723&lt;C723,"Down","Flat"))</f>
        <v/>
      </c>
      <c r="K723" s="14" t="n">
        <v>41.92</v>
      </c>
      <c r="L723" s="15" t="n">
        <v>60.59</v>
      </c>
      <c r="M723" s="14" t="n">
        <v>2449.05</v>
      </c>
      <c r="N723" s="14" t="n">
        <v>2407.13</v>
      </c>
      <c r="O723" s="14" t="n">
        <v>2243.51</v>
      </c>
      <c r="P723" s="4">
        <f>IF(O723="","",IF(F723&gt;O723,"Above","Below"))</f>
        <v/>
      </c>
      <c r="Q723" s="16" t="n">
        <v>169322</v>
      </c>
      <c r="R723" s="17" t="n">
        <v>0</v>
      </c>
      <c r="S723" s="17" t="n">
        <v>0</v>
      </c>
      <c r="T723" s="17" t="n">
        <v>0</v>
      </c>
      <c r="U723" s="18" t="n">
        <v>0</v>
      </c>
    </row>
    <row r="724">
      <c r="A724" s="13" t="n">
        <v>45520</v>
      </c>
      <c r="B724" s="4">
        <f>TEXT(A724,"ddd")</f>
        <v/>
      </c>
      <c r="C724" s="14" t="n">
        <v>2494.4</v>
      </c>
      <c r="D724" s="14" t="n">
        <v>2548.3</v>
      </c>
      <c r="E724" s="14" t="n">
        <v>2488.2</v>
      </c>
      <c r="F724" s="14" t="n">
        <v>2537.8</v>
      </c>
      <c r="G724" s="9">
        <f>F724-F723</f>
        <v/>
      </c>
      <c r="H724" s="10">
        <f>IF(F723=0,0,G724/F723)</f>
        <v/>
      </c>
      <c r="I724" s="8">
        <f>D724-E724</f>
        <v/>
      </c>
      <c r="J724" s="4">
        <f>IF(F724&gt;C724,"Up",IF(F724&lt;C724,"Down","Flat"))</f>
        <v/>
      </c>
      <c r="K724" s="14" t="n">
        <v>43.22</v>
      </c>
      <c r="L724" s="15" t="n">
        <v>66.44</v>
      </c>
      <c r="M724" s="14" t="n">
        <v>2457.5</v>
      </c>
      <c r="N724" s="14" t="n">
        <v>2412.25</v>
      </c>
      <c r="O724" s="14" t="n">
        <v>2246.44</v>
      </c>
      <c r="P724" s="4">
        <f>IF(O724="","",IF(F724&gt;O724,"Above","Below"))</f>
        <v/>
      </c>
      <c r="Q724" s="16" t="n">
        <v>223934</v>
      </c>
      <c r="R724" s="17" t="n">
        <v>0</v>
      </c>
      <c r="S724" s="17" t="n">
        <v>0</v>
      </c>
      <c r="T724" s="17" t="n">
        <v>0</v>
      </c>
      <c r="U724" s="18" t="n">
        <v>0</v>
      </c>
    </row>
    <row r="725">
      <c r="A725" s="13" t="n">
        <v>45523</v>
      </c>
      <c r="B725" s="4">
        <f>TEXT(A725,"ddd")</f>
        <v/>
      </c>
      <c r="C725" s="14" t="n">
        <v>2549.7</v>
      </c>
      <c r="D725" s="14" t="n">
        <v>2549.9</v>
      </c>
      <c r="E725" s="14" t="n">
        <v>2523.7</v>
      </c>
      <c r="F725" s="14" t="n">
        <v>2541.3</v>
      </c>
      <c r="G725" s="9">
        <f>F725-F724</f>
        <v/>
      </c>
      <c r="H725" s="10">
        <f>IF(F724=0,0,G725/F724)</f>
        <v/>
      </c>
      <c r="I725" s="8">
        <f>D725-E725</f>
        <v/>
      </c>
      <c r="J725" s="4">
        <f>IF(F725&gt;C725,"Up",IF(F725&lt;C725,"Down","Flat"))</f>
        <v/>
      </c>
      <c r="K725" s="14" t="n">
        <v>42.01</v>
      </c>
      <c r="L725" s="15" t="n">
        <v>66.84999999999999</v>
      </c>
      <c r="M725" s="14" t="n">
        <v>2465.48</v>
      </c>
      <c r="N725" s="14" t="n">
        <v>2417.31</v>
      </c>
      <c r="O725" s="14" t="n">
        <v>2249.37</v>
      </c>
      <c r="P725" s="4">
        <f>IF(O725="","",IF(F725&gt;O725,"Above","Below"))</f>
        <v/>
      </c>
      <c r="Q725" s="16" t="n">
        <v>155994</v>
      </c>
      <c r="R725" s="17" t="n">
        <v>0</v>
      </c>
      <c r="S725" s="17" t="n">
        <v>0</v>
      </c>
      <c r="T725" s="17" t="n">
        <v>0</v>
      </c>
      <c r="U725" s="18" t="n">
        <v>0</v>
      </c>
    </row>
    <row r="726">
      <c r="A726" s="13" t="n">
        <v>45524</v>
      </c>
      <c r="B726" s="4">
        <f>TEXT(A726,"ddd")</f>
        <v/>
      </c>
      <c r="C726" s="14" t="n">
        <v>2542.4</v>
      </c>
      <c r="D726" s="14" t="n">
        <v>2570.4</v>
      </c>
      <c r="E726" s="14" t="n">
        <v>2535.1</v>
      </c>
      <c r="F726" s="14" t="n">
        <v>2550.6</v>
      </c>
      <c r="G726" s="9">
        <f>F726-F725</f>
        <v/>
      </c>
      <c r="H726" s="10">
        <f>IF(F725=0,0,G726/F725)</f>
        <v/>
      </c>
      <c r="I726" s="8">
        <f>D726-E726</f>
        <v/>
      </c>
      <c r="J726" s="4">
        <f>IF(F726&gt;C726,"Up",IF(F726&lt;C726,"Down","Flat"))</f>
        <v/>
      </c>
      <c r="K726" s="14" t="n">
        <v>41.53</v>
      </c>
      <c r="L726" s="15" t="n">
        <v>67.97</v>
      </c>
      <c r="M726" s="14" t="n">
        <v>2473.59</v>
      </c>
      <c r="N726" s="14" t="n">
        <v>2422.54</v>
      </c>
      <c r="O726" s="14" t="n">
        <v>2252.37</v>
      </c>
      <c r="P726" s="4">
        <f>IF(O726="","",IF(F726&gt;O726,"Above","Below"))</f>
        <v/>
      </c>
      <c r="Q726" s="16" t="n">
        <v>191196</v>
      </c>
      <c r="R726" s="17" t="n">
        <v>0</v>
      </c>
      <c r="S726" s="17" t="n">
        <v>0</v>
      </c>
      <c r="T726" s="17" t="n">
        <v>0</v>
      </c>
      <c r="U726" s="18" t="n">
        <v>0</v>
      </c>
    </row>
    <row r="727">
      <c r="A727" s="13" t="n">
        <v>45525</v>
      </c>
      <c r="B727" s="4">
        <f>TEXT(A727,"ddd")</f>
        <v/>
      </c>
      <c r="C727" s="14" t="n">
        <v>2552.2</v>
      </c>
      <c r="D727" s="14" t="n">
        <v>2558</v>
      </c>
      <c r="E727" s="14" t="n">
        <v>2528.2</v>
      </c>
      <c r="F727" s="14" t="n">
        <v>2547.5</v>
      </c>
      <c r="G727" s="9">
        <f>F727-F726</f>
        <v/>
      </c>
      <c r="H727" s="10">
        <f>IF(F726=0,0,G727/F726)</f>
        <v/>
      </c>
      <c r="I727" s="8">
        <f>D727-E727</f>
        <v/>
      </c>
      <c r="J727" s="4">
        <f>IF(F727&gt;C727,"Up",IF(F727&lt;C727,"Down","Flat"))</f>
        <v/>
      </c>
      <c r="K727" s="14" t="n">
        <v>40.69</v>
      </c>
      <c r="L727" s="15" t="n">
        <v>67.15000000000001</v>
      </c>
      <c r="M727" s="14" t="n">
        <v>2480.63</v>
      </c>
      <c r="N727" s="14" t="n">
        <v>2427.44</v>
      </c>
      <c r="O727" s="14" t="n">
        <v>2255.3</v>
      </c>
      <c r="P727" s="4">
        <f>IF(O727="","",IF(F727&gt;O727,"Above","Below"))</f>
        <v/>
      </c>
      <c r="Q727" s="16" t="n">
        <v>148894</v>
      </c>
      <c r="R727" s="17" t="n">
        <v>0</v>
      </c>
      <c r="S727" s="17" t="n">
        <v>0</v>
      </c>
      <c r="T727" s="17" t="n">
        <v>0</v>
      </c>
      <c r="U727" s="18" t="n">
        <v>0</v>
      </c>
    </row>
    <row r="728">
      <c r="A728" s="13" t="n">
        <v>45526</v>
      </c>
      <c r="B728" s="4">
        <f>TEXT(A728,"ddd")</f>
        <v/>
      </c>
      <c r="C728" s="14" t="n">
        <v>2549.9</v>
      </c>
      <c r="D728" s="14" t="n">
        <v>2551.4</v>
      </c>
      <c r="E728" s="14" t="n">
        <v>2506.4</v>
      </c>
      <c r="F728" s="14" t="n">
        <v>2516.7</v>
      </c>
      <c r="G728" s="9">
        <f>F728-F727</f>
        <v/>
      </c>
      <c r="H728" s="10">
        <f>IF(F727=0,0,G728/F727)</f>
        <v/>
      </c>
      <c r="I728" s="8">
        <f>D728-E728</f>
        <v/>
      </c>
      <c r="J728" s="4">
        <f>IF(F728&gt;C728,"Up",IF(F728&lt;C728,"Down","Flat"))</f>
        <v/>
      </c>
      <c r="K728" s="14" t="n">
        <v>41</v>
      </c>
      <c r="L728" s="15" t="n">
        <v>59.55</v>
      </c>
      <c r="M728" s="14" t="n">
        <v>2484.06</v>
      </c>
      <c r="N728" s="14" t="n">
        <v>2430.94</v>
      </c>
      <c r="O728" s="14" t="n">
        <v>2257.9</v>
      </c>
      <c r="P728" s="4">
        <f>IF(O728="","",IF(F728&gt;O728,"Above","Below"))</f>
        <v/>
      </c>
      <c r="Q728" s="16" t="n">
        <v>177369</v>
      </c>
      <c r="R728" s="17" t="n">
        <v>0</v>
      </c>
      <c r="S728" s="17" t="n">
        <v>0</v>
      </c>
      <c r="T728" s="17" t="n">
        <v>0</v>
      </c>
      <c r="U728" s="18" t="n">
        <v>0</v>
      </c>
    </row>
    <row r="729">
      <c r="A729" s="13" t="n">
        <v>45527</v>
      </c>
      <c r="B729" s="4">
        <f>TEXT(A729,"ddd")</f>
        <v/>
      </c>
      <c r="C729" s="14" t="n">
        <v>2521.1</v>
      </c>
      <c r="D729" s="14" t="n">
        <v>2554.5</v>
      </c>
      <c r="E729" s="14" t="n">
        <v>2519.8</v>
      </c>
      <c r="F729" s="14" t="n">
        <v>2546.3</v>
      </c>
      <c r="G729" s="9">
        <f>F729-F728</f>
        <v/>
      </c>
      <c r="H729" s="10">
        <f>IF(F728=0,0,G729/F728)</f>
        <v/>
      </c>
      <c r="I729" s="8">
        <f>D729-E729</f>
        <v/>
      </c>
      <c r="J729" s="4">
        <f>IF(F729&gt;C729,"Up",IF(F729&lt;C729,"Down","Flat"))</f>
        <v/>
      </c>
      <c r="K729" s="14" t="n">
        <v>40.77</v>
      </c>
      <c r="L729" s="15" t="n">
        <v>63.79</v>
      </c>
      <c r="M729" s="14" t="n">
        <v>2489.99</v>
      </c>
      <c r="N729" s="14" t="n">
        <v>2435.47</v>
      </c>
      <c r="O729" s="14" t="n">
        <v>2260.77</v>
      </c>
      <c r="P729" s="4">
        <f>IF(O729="","",IF(F729&gt;O729,"Above","Below"))</f>
        <v/>
      </c>
      <c r="Q729" s="16" t="n">
        <v>164613</v>
      </c>
      <c r="R729" s="17" t="n">
        <v>0</v>
      </c>
      <c r="S729" s="17" t="n">
        <v>0</v>
      </c>
      <c r="T729" s="17" t="n">
        <v>0</v>
      </c>
      <c r="U729" s="18" t="n">
        <v>0</v>
      </c>
    </row>
    <row r="730">
      <c r="A730" s="13" t="n">
        <v>45530</v>
      </c>
      <c r="B730" s="4">
        <f>TEXT(A730,"ddd")</f>
        <v/>
      </c>
      <c r="C730" s="14" t="n">
        <v>2545.1</v>
      </c>
      <c r="D730" s="14" t="n">
        <v>2563.2</v>
      </c>
      <c r="E730" s="14" t="n">
        <v>2544</v>
      </c>
      <c r="F730" s="14" t="n">
        <v>2555.2</v>
      </c>
      <c r="G730" s="9">
        <f>F730-F729</f>
        <v/>
      </c>
      <c r="H730" s="10">
        <f>IF(F729=0,0,G730/F729)</f>
        <v/>
      </c>
      <c r="I730" s="8">
        <f>D730-E730</f>
        <v/>
      </c>
      <c r="J730" s="4">
        <f>IF(F730&gt;C730,"Up",IF(F730&lt;C730,"Down","Flat"))</f>
        <v/>
      </c>
      <c r="K730" s="14" t="n">
        <v>39.23</v>
      </c>
      <c r="L730" s="15" t="n">
        <v>64.98</v>
      </c>
      <c r="M730" s="14" t="n">
        <v>2496.2</v>
      </c>
      <c r="N730" s="14" t="n">
        <v>2440.16</v>
      </c>
      <c r="O730" s="14" t="n">
        <v>2263.7</v>
      </c>
      <c r="P730" s="4">
        <f>IF(O730="","",IF(F730&gt;O730,"Above","Below"))</f>
        <v/>
      </c>
      <c r="Q730" s="16" t="n">
        <v>127485</v>
      </c>
      <c r="R730" s="17" t="n">
        <v>0</v>
      </c>
      <c r="S730" s="17" t="n">
        <v>0</v>
      </c>
      <c r="T730" s="17" t="n">
        <v>0</v>
      </c>
      <c r="U730" s="18" t="n">
        <v>0</v>
      </c>
    </row>
    <row r="731">
      <c r="A731" s="13" t="n">
        <v>45531</v>
      </c>
      <c r="B731" s="4">
        <f>TEXT(A731,"ddd")</f>
        <v/>
      </c>
      <c r="C731" s="14" t="n">
        <v>2553.8</v>
      </c>
      <c r="D731" s="14" t="n">
        <v>2561.4</v>
      </c>
      <c r="E731" s="14" t="n">
        <v>2538.5</v>
      </c>
      <c r="F731" s="14" t="n">
        <v>2552.9</v>
      </c>
      <c r="G731" s="9">
        <f>F731-F730</f>
        <v/>
      </c>
      <c r="H731" s="10">
        <f>IF(F730=0,0,G731/F730)</f>
        <v/>
      </c>
      <c r="I731" s="8">
        <f>D731-E731</f>
        <v/>
      </c>
      <c r="J731" s="4">
        <f>IF(F731&gt;C731,"Up",IF(F731&lt;C731,"Down","Flat"))</f>
        <v/>
      </c>
      <c r="K731" s="14" t="n">
        <v>38.06</v>
      </c>
      <c r="L731" s="15" t="n">
        <v>64.39</v>
      </c>
      <c r="M731" s="14" t="n">
        <v>2501.6</v>
      </c>
      <c r="N731" s="14" t="n">
        <v>2444.58</v>
      </c>
      <c r="O731" s="14" t="n">
        <v>2266.58</v>
      </c>
      <c r="P731" s="4">
        <f>IF(O731="","",IF(F731&gt;O731,"Above","Below"))</f>
        <v/>
      </c>
      <c r="Q731" s="16" t="n">
        <v>146222</v>
      </c>
      <c r="R731" s="17" t="n">
        <v>0</v>
      </c>
      <c r="S731" s="17" t="n">
        <v>0</v>
      </c>
      <c r="T731" s="17" t="n">
        <v>0</v>
      </c>
      <c r="U731" s="18" t="n">
        <v>0</v>
      </c>
    </row>
    <row r="732">
      <c r="A732" s="13" t="n">
        <v>45532</v>
      </c>
      <c r="B732" s="4">
        <f>TEXT(A732,"ddd")</f>
        <v/>
      </c>
      <c r="C732" s="14" t="n">
        <v>2559.8</v>
      </c>
      <c r="D732" s="14" t="n">
        <v>2564.3</v>
      </c>
      <c r="E732" s="14" t="n">
        <v>2527.8</v>
      </c>
      <c r="F732" s="14" t="n">
        <v>2537.8</v>
      </c>
      <c r="G732" s="9">
        <f>F732-F731</f>
        <v/>
      </c>
      <c r="H732" s="10">
        <f>IF(F731=0,0,G732/F731)</f>
        <v/>
      </c>
      <c r="I732" s="8">
        <f>D732-E732</f>
        <v/>
      </c>
      <c r="J732" s="4">
        <f>IF(F732&gt;C732,"Up",IF(F732&lt;C732,"Down","Flat"))</f>
        <v/>
      </c>
      <c r="K732" s="14" t="n">
        <v>37.95</v>
      </c>
      <c r="L732" s="15" t="n">
        <v>60.52</v>
      </c>
      <c r="M732" s="14" t="n">
        <v>2505.05</v>
      </c>
      <c r="N732" s="14" t="n">
        <v>2448.24</v>
      </c>
      <c r="O732" s="14" t="n">
        <v>2269.28</v>
      </c>
      <c r="P732" s="4">
        <f>IF(O732="","",IF(F732&gt;O732,"Above","Below"))</f>
        <v/>
      </c>
      <c r="Q732" s="16" t="n">
        <v>165123</v>
      </c>
      <c r="R732" s="17" t="n">
        <v>0</v>
      </c>
      <c r="S732" s="17" t="n">
        <v>0</v>
      </c>
      <c r="T732" s="17" t="n">
        <v>0</v>
      </c>
      <c r="U732" s="18" t="n">
        <v>0</v>
      </c>
    </row>
    <row r="733">
      <c r="A733" s="13" t="n">
        <v>45533</v>
      </c>
      <c r="B733" s="4">
        <f>TEXT(A733,"ddd")</f>
        <v/>
      </c>
      <c r="C733" s="14" t="n">
        <v>2539.2</v>
      </c>
      <c r="D733" s="14" t="n">
        <v>2562.2</v>
      </c>
      <c r="E733" s="14" t="n">
        <v>2536.5</v>
      </c>
      <c r="F733" s="14" t="n">
        <v>2560.3</v>
      </c>
      <c r="G733" s="9">
        <f>F733-F732</f>
        <v/>
      </c>
      <c r="H733" s="10">
        <f>IF(F732=0,0,G733/F732)</f>
        <v/>
      </c>
      <c r="I733" s="8">
        <f>D733-E733</f>
        <v/>
      </c>
      <c r="J733" s="4">
        <f>IF(F733&gt;C733,"Up",IF(F733&lt;C733,"Down","Flat"))</f>
        <v/>
      </c>
      <c r="K733" s="14" t="n">
        <v>37.08</v>
      </c>
      <c r="L733" s="15" t="n">
        <v>63.99</v>
      </c>
      <c r="M733" s="14" t="n">
        <v>2510.31</v>
      </c>
      <c r="N733" s="14" t="n">
        <v>2452.63</v>
      </c>
      <c r="O733" s="14" t="n">
        <v>2272.18</v>
      </c>
      <c r="P733" s="4">
        <f>IF(O733="","",IF(F733&gt;O733,"Above","Below"))</f>
        <v/>
      </c>
      <c r="Q733" s="16" t="n">
        <v>159965</v>
      </c>
      <c r="R733" s="17" t="n">
        <v>0</v>
      </c>
      <c r="S733" s="17" t="n">
        <v>0</v>
      </c>
      <c r="T733" s="17" t="n">
        <v>0</v>
      </c>
      <c r="U733" s="18" t="n">
        <v>0</v>
      </c>
    </row>
    <row r="734">
      <c r="A734" s="13" t="n">
        <v>45534</v>
      </c>
      <c r="B734" s="4">
        <f>TEXT(A734,"ddd")</f>
        <v/>
      </c>
      <c r="C734" s="14" t="n">
        <v>2553.6</v>
      </c>
      <c r="D734" s="14" t="n">
        <v>2560.1</v>
      </c>
      <c r="E734" s="14" t="n">
        <v>2526.6</v>
      </c>
      <c r="F734" s="14" t="n">
        <v>2527.6</v>
      </c>
      <c r="G734" s="9">
        <f>F734-F733</f>
        <v/>
      </c>
      <c r="H734" s="10">
        <f>IF(F733=0,0,G734/F733)</f>
        <v/>
      </c>
      <c r="I734" s="8">
        <f>D734-E734</f>
        <v/>
      </c>
      <c r="J734" s="4">
        <f>IF(F734&gt;C734,"Up",IF(F734&lt;C734,"Down","Flat"))</f>
        <v/>
      </c>
      <c r="K734" s="14" t="n">
        <v>36.83</v>
      </c>
      <c r="L734" s="15" t="n">
        <v>56.24</v>
      </c>
      <c r="M734" s="14" t="n">
        <v>2511.96</v>
      </c>
      <c r="N734" s="14" t="n">
        <v>2455.57</v>
      </c>
      <c r="O734" s="14" t="n">
        <v>2274.72</v>
      </c>
      <c r="P734" s="4">
        <f>IF(O734="","",IF(F734&gt;O734,"Above","Below"))</f>
        <v/>
      </c>
      <c r="Q734" s="16" t="n">
        <v>175644</v>
      </c>
      <c r="R734" s="17" t="n">
        <v>0</v>
      </c>
      <c r="S734" s="17" t="n">
        <v>0</v>
      </c>
      <c r="T734" s="17" t="n">
        <v>0</v>
      </c>
      <c r="U734" s="18" t="n">
        <v>0</v>
      </c>
    </row>
    <row r="735">
      <c r="A735" s="13" t="n">
        <v>45538</v>
      </c>
      <c r="B735" s="4">
        <f>TEXT(A735,"ddd")</f>
        <v/>
      </c>
      <c r="C735" s="14" t="n">
        <v>2536</v>
      </c>
      <c r="D735" s="14" t="n">
        <v>2539.5</v>
      </c>
      <c r="E735" s="14" t="n">
        <v>2504.4</v>
      </c>
      <c r="F735" s="14" t="n">
        <v>2523</v>
      </c>
      <c r="G735" s="9">
        <f>F735-F734</f>
        <v/>
      </c>
      <c r="H735" s="10">
        <f>IF(F734=0,0,G735/F734)</f>
        <v/>
      </c>
      <c r="I735" s="8">
        <f>D735-E735</f>
        <v/>
      </c>
      <c r="J735" s="4">
        <f>IF(F735&gt;C735,"Up",IF(F735&lt;C735,"Down","Flat"))</f>
        <v/>
      </c>
      <c r="K735" s="14" t="n">
        <v>36.71</v>
      </c>
      <c r="L735" s="15" t="n">
        <v>55.23</v>
      </c>
      <c r="M735" s="14" t="n">
        <v>2513.01</v>
      </c>
      <c r="N735" s="14" t="n">
        <v>2458.22</v>
      </c>
      <c r="O735" s="14" t="n">
        <v>2277.19</v>
      </c>
      <c r="P735" s="4">
        <f>IF(O735="","",IF(F735&gt;O735,"Above","Below"))</f>
        <v/>
      </c>
      <c r="Q735" s="16" t="n">
        <v>273539</v>
      </c>
      <c r="R735" s="17" t="n">
        <v>0</v>
      </c>
      <c r="S735" s="17" t="n">
        <v>0</v>
      </c>
      <c r="T735" s="17" t="n">
        <v>0</v>
      </c>
      <c r="U735" s="18" t="n">
        <v>0</v>
      </c>
    </row>
    <row r="736">
      <c r="A736" s="13" t="n">
        <v>45539</v>
      </c>
      <c r="B736" s="4">
        <f>TEXT(A736,"ddd")</f>
        <v/>
      </c>
      <c r="C736" s="14" t="n">
        <v>2524.6</v>
      </c>
      <c r="D736" s="14" t="n">
        <v>2531.5</v>
      </c>
      <c r="E736" s="14" t="n">
        <v>2502.7</v>
      </c>
      <c r="F736" s="14" t="n">
        <v>2526</v>
      </c>
      <c r="G736" s="9">
        <f>F736-F735</f>
        <v/>
      </c>
      <c r="H736" s="10">
        <f>IF(F735=0,0,G736/F735)</f>
        <v/>
      </c>
      <c r="I736" s="8">
        <f>D736-E736</f>
        <v/>
      </c>
      <c r="J736" s="4">
        <f>IF(F736&gt;C736,"Up",IF(F736&lt;C736,"Down","Flat"))</f>
        <v/>
      </c>
      <c r="K736" s="14" t="n">
        <v>36.15</v>
      </c>
      <c r="L736" s="15" t="n">
        <v>55.78</v>
      </c>
      <c r="M736" s="14" t="n">
        <v>2514.25</v>
      </c>
      <c r="N736" s="14" t="n">
        <v>2460.87</v>
      </c>
      <c r="O736" s="14" t="n">
        <v>2279.66</v>
      </c>
      <c r="P736" s="4">
        <f>IF(O736="","",IF(F736&gt;O736,"Above","Below"))</f>
        <v/>
      </c>
      <c r="Q736" s="16" t="n">
        <v>167957</v>
      </c>
      <c r="R736" s="17" t="n">
        <v>0</v>
      </c>
      <c r="S736" s="17" t="n">
        <v>0</v>
      </c>
      <c r="T736" s="17" t="n">
        <v>0</v>
      </c>
      <c r="U736" s="18" t="n">
        <v>0</v>
      </c>
    </row>
    <row r="737">
      <c r="A737" s="13" t="n">
        <v>45540</v>
      </c>
      <c r="B737" s="4">
        <f>TEXT(A737,"ddd")</f>
        <v/>
      </c>
      <c r="C737" s="14" t="n">
        <v>2526.4</v>
      </c>
      <c r="D737" s="14" t="n">
        <v>2554</v>
      </c>
      <c r="E737" s="14" t="n">
        <v>2523.7</v>
      </c>
      <c r="F737" s="14" t="n">
        <v>2543.1</v>
      </c>
      <c r="G737" s="9">
        <f>F737-F736</f>
        <v/>
      </c>
      <c r="H737" s="10">
        <f>IF(F736=0,0,G737/F736)</f>
        <v/>
      </c>
      <c r="I737" s="8">
        <f>D737-E737</f>
        <v/>
      </c>
      <c r="J737" s="4">
        <f>IF(F737&gt;C737,"Up",IF(F737&lt;C737,"Down","Flat"))</f>
        <v/>
      </c>
      <c r="K737" s="14" t="n">
        <v>35.73</v>
      </c>
      <c r="L737" s="15" t="n">
        <v>58.94</v>
      </c>
      <c r="M737" s="14" t="n">
        <v>2516.99</v>
      </c>
      <c r="N737" s="14" t="n">
        <v>2464.1</v>
      </c>
      <c r="O737" s="14" t="n">
        <v>2282.28</v>
      </c>
      <c r="P737" s="4">
        <f>IF(O737="","",IF(F737&gt;O737,"Above","Below"))</f>
        <v/>
      </c>
      <c r="Q737" s="16" t="n">
        <v>152709</v>
      </c>
      <c r="R737" s="17" t="n">
        <v>0</v>
      </c>
      <c r="S737" s="17" t="n">
        <v>0</v>
      </c>
      <c r="T737" s="17" t="n">
        <v>0</v>
      </c>
      <c r="U737" s="18" t="n">
        <v>0</v>
      </c>
    </row>
    <row r="738">
      <c r="A738" s="13" t="n">
        <v>45541</v>
      </c>
      <c r="B738" s="4">
        <f>TEXT(A738,"ddd")</f>
        <v/>
      </c>
      <c r="C738" s="14" t="n">
        <v>2547.1</v>
      </c>
      <c r="D738" s="14" t="n">
        <v>2559.8</v>
      </c>
      <c r="E738" s="14" t="n">
        <v>2513.9</v>
      </c>
      <c r="F738" s="14" t="n">
        <v>2524.6</v>
      </c>
      <c r="G738" s="9">
        <f>F738-F737</f>
        <v/>
      </c>
      <c r="H738" s="10">
        <f>IF(F737=0,0,G738/F737)</f>
        <v/>
      </c>
      <c r="I738" s="8">
        <f>D738-E738</f>
        <v/>
      </c>
      <c r="J738" s="4">
        <f>IF(F738&gt;C738,"Up",IF(F738&lt;C738,"Down","Flat"))</f>
        <v/>
      </c>
      <c r="K738" s="14" t="n">
        <v>36.45</v>
      </c>
      <c r="L738" s="15" t="n">
        <v>54.42</v>
      </c>
      <c r="M738" s="14" t="n">
        <v>2517.72</v>
      </c>
      <c r="N738" s="14" t="n">
        <v>2466.47</v>
      </c>
      <c r="O738" s="14" t="n">
        <v>2284.7</v>
      </c>
      <c r="P738" s="4">
        <f>IF(O738="","",IF(F738&gt;O738,"Above","Below"))</f>
        <v/>
      </c>
      <c r="Q738" s="16" t="n">
        <v>228117</v>
      </c>
      <c r="R738" s="17" t="n">
        <v>0</v>
      </c>
      <c r="S738" s="17" t="n">
        <v>0</v>
      </c>
      <c r="T738" s="17" t="n">
        <v>0</v>
      </c>
      <c r="U738" s="18" t="n">
        <v>0</v>
      </c>
    </row>
    <row r="739">
      <c r="A739" s="13" t="n">
        <v>45544</v>
      </c>
      <c r="B739" s="4">
        <f>TEXT(A739,"ddd")</f>
        <v/>
      </c>
      <c r="C739" s="14" t="n">
        <v>2526.5</v>
      </c>
      <c r="D739" s="14" t="n">
        <v>2536.5</v>
      </c>
      <c r="E739" s="14" t="n">
        <v>2514.2</v>
      </c>
      <c r="F739" s="14" t="n">
        <v>2532.7</v>
      </c>
      <c r="G739" s="9">
        <f>F739-F738</f>
        <v/>
      </c>
      <c r="H739" s="10">
        <f>IF(F738=0,0,G739/F738)</f>
        <v/>
      </c>
      <c r="I739" s="8">
        <f>D739-E739</f>
        <v/>
      </c>
      <c r="J739" s="4">
        <f>IF(F739&gt;C739,"Up",IF(F739&lt;C739,"Down","Flat"))</f>
        <v/>
      </c>
      <c r="K739" s="14" t="n">
        <v>35.44</v>
      </c>
      <c r="L739" s="15" t="n">
        <v>56.01</v>
      </c>
      <c r="M739" s="14" t="n">
        <v>2519.14</v>
      </c>
      <c r="N739" s="14" t="n">
        <v>2469.07</v>
      </c>
      <c r="O739" s="14" t="n">
        <v>2287.16</v>
      </c>
      <c r="P739" s="4">
        <f>IF(O739="","",IF(F739&gt;O739,"Above","Below"))</f>
        <v/>
      </c>
      <c r="Q739" s="16" t="n">
        <v>140583</v>
      </c>
      <c r="R739" s="17" t="n">
        <v>0</v>
      </c>
      <c r="S739" s="17" t="n">
        <v>0</v>
      </c>
      <c r="T739" s="17" t="n">
        <v>0</v>
      </c>
      <c r="U739" s="18" t="n">
        <v>0</v>
      </c>
    </row>
    <row r="740">
      <c r="A740" s="13" t="n">
        <v>45545</v>
      </c>
      <c r="B740" s="4">
        <f>TEXT(A740,"ddd")</f>
        <v/>
      </c>
      <c r="C740" s="14" t="n">
        <v>2536</v>
      </c>
      <c r="D740" s="14" t="n">
        <v>2547.5</v>
      </c>
      <c r="E740" s="14" t="n">
        <v>2528.9</v>
      </c>
      <c r="F740" s="14" t="n">
        <v>2543.1</v>
      </c>
      <c r="G740" s="9">
        <f>F740-F739</f>
        <v/>
      </c>
      <c r="H740" s="10">
        <f>IF(F739=0,0,G740/F739)</f>
        <v/>
      </c>
      <c r="I740" s="8">
        <f>D740-E740</f>
        <v/>
      </c>
      <c r="J740" s="4">
        <f>IF(F740&gt;C740,"Up",IF(F740&lt;C740,"Down","Flat"))</f>
        <v/>
      </c>
      <c r="K740" s="14" t="n">
        <v>34.24</v>
      </c>
      <c r="L740" s="15" t="n">
        <v>58.03</v>
      </c>
      <c r="M740" s="14" t="n">
        <v>2521.43</v>
      </c>
      <c r="N740" s="14" t="n">
        <v>2471.97</v>
      </c>
      <c r="O740" s="14" t="n">
        <v>2289.71</v>
      </c>
      <c r="P740" s="4">
        <f>IF(O740="","",IF(F740&gt;O740,"Above","Below"))</f>
        <v/>
      </c>
      <c r="Q740" s="16" t="n">
        <v>156108</v>
      </c>
      <c r="R740" s="17" t="n">
        <v>0</v>
      </c>
      <c r="S740" s="17" t="n">
        <v>0</v>
      </c>
      <c r="T740" s="17" t="n">
        <v>0</v>
      </c>
      <c r="U740" s="18" t="n">
        <v>0</v>
      </c>
    </row>
    <row r="741">
      <c r="A741" s="13" t="n">
        <v>45546</v>
      </c>
      <c r="B741" s="4">
        <f>TEXT(A741,"ddd")</f>
        <v/>
      </c>
      <c r="C741" s="14" t="n">
        <v>2545.7</v>
      </c>
      <c r="D741" s="14" t="n">
        <v>2558</v>
      </c>
      <c r="E741" s="14" t="n">
        <v>2529</v>
      </c>
      <c r="F741" s="14" t="n">
        <v>2542.4</v>
      </c>
      <c r="G741" s="9">
        <f>F741-F740</f>
        <v/>
      </c>
      <c r="H741" s="10">
        <f>IF(F740=0,0,G741/F740)</f>
        <v/>
      </c>
      <c r="I741" s="8">
        <f>D741-E741</f>
        <v/>
      </c>
      <c r="J741" s="4">
        <f>IF(F741&gt;C741,"Up",IF(F741&lt;C741,"Down","Flat"))</f>
        <v/>
      </c>
      <c r="K741" s="14" t="n">
        <v>33.87</v>
      </c>
      <c r="L741" s="15" t="n">
        <v>57.84</v>
      </c>
      <c r="M741" s="14" t="n">
        <v>2523.42</v>
      </c>
      <c r="N741" s="14" t="n">
        <v>2474.73</v>
      </c>
      <c r="O741" s="14" t="n">
        <v>2292.22</v>
      </c>
      <c r="P741" s="4">
        <f>IF(O741="","",IF(F741&gt;O741,"Above","Below"))</f>
        <v/>
      </c>
      <c r="Q741" s="16" t="n">
        <v>194085</v>
      </c>
      <c r="R741" s="17" t="n">
        <v>0</v>
      </c>
      <c r="S741" s="17" t="n">
        <v>0</v>
      </c>
      <c r="T741" s="17" t="n">
        <v>0</v>
      </c>
      <c r="U741" s="18" t="n">
        <v>0</v>
      </c>
    </row>
    <row r="742">
      <c r="A742" s="13" t="n">
        <v>45547</v>
      </c>
      <c r="B742" s="4">
        <f>TEXT(A742,"ddd")</f>
        <v/>
      </c>
      <c r="C742" s="14" t="n">
        <v>2540.6</v>
      </c>
      <c r="D742" s="14" t="n">
        <v>2588.5</v>
      </c>
      <c r="E742" s="14" t="n">
        <v>2538.7</v>
      </c>
      <c r="F742" s="14" t="n">
        <v>2580.6</v>
      </c>
      <c r="G742" s="9">
        <f>F742-F741</f>
        <v/>
      </c>
      <c r="H742" s="10">
        <f>IF(F741=0,0,G742/F741)</f>
        <v/>
      </c>
      <c r="I742" s="8">
        <f>D742-E742</f>
        <v/>
      </c>
      <c r="J742" s="4">
        <f>IF(F742&gt;C742,"Up",IF(F742&lt;C742,"Down","Flat"))</f>
        <v/>
      </c>
      <c r="K742" s="14" t="n">
        <v>35</v>
      </c>
      <c r="L742" s="15" t="n">
        <v>64.73</v>
      </c>
      <c r="M742" s="14" t="n">
        <v>2528.87</v>
      </c>
      <c r="N742" s="14" t="n">
        <v>2478.89</v>
      </c>
      <c r="O742" s="14" t="n">
        <v>2295.09</v>
      </c>
      <c r="P742" s="4">
        <f>IF(O742="","",IF(F742&gt;O742,"Above","Below"))</f>
        <v/>
      </c>
      <c r="Q742" s="16" t="n">
        <v>233679</v>
      </c>
      <c r="R742" s="17" t="n">
        <v>0</v>
      </c>
      <c r="S742" s="17" t="n">
        <v>0</v>
      </c>
      <c r="T742" s="17" t="n">
        <v>0</v>
      </c>
      <c r="U742" s="18" t="n">
        <v>0</v>
      </c>
    </row>
    <row r="743">
      <c r="A743" s="13" t="n">
        <v>45548</v>
      </c>
      <c r="B743" s="4">
        <f>TEXT(A743,"ddd")</f>
        <v/>
      </c>
      <c r="C743" s="14" t="n">
        <v>2587.5</v>
      </c>
      <c r="D743" s="14" t="n">
        <v>2614.6</v>
      </c>
      <c r="E743" s="14" t="n">
        <v>2585</v>
      </c>
      <c r="F743" s="14" t="n">
        <v>2610.7</v>
      </c>
      <c r="G743" s="9">
        <f>F743-F742</f>
        <v/>
      </c>
      <c r="H743" s="10">
        <f>IF(F742=0,0,G743/F742)</f>
        <v/>
      </c>
      <c r="I743" s="8">
        <f>D743-E743</f>
        <v/>
      </c>
      <c r="J743" s="4">
        <f>IF(F743&gt;C743,"Up",IF(F743&lt;C743,"Down","Flat"))</f>
        <v/>
      </c>
      <c r="K743" s="14" t="n">
        <v>34.93</v>
      </c>
      <c r="L743" s="15" t="n">
        <v>69.03</v>
      </c>
      <c r="M743" s="14" t="n">
        <v>2536.66</v>
      </c>
      <c r="N743" s="14" t="n">
        <v>2484.05</v>
      </c>
      <c r="O743" s="14" t="n">
        <v>2298.23</v>
      </c>
      <c r="P743" s="4">
        <f>IF(O743="","",IF(F743&gt;O743,"Above","Below"))</f>
        <v/>
      </c>
      <c r="Q743" s="16" t="n">
        <v>174674</v>
      </c>
      <c r="R743" s="17" t="n">
        <v>0</v>
      </c>
      <c r="S743" s="17" t="n">
        <v>0</v>
      </c>
      <c r="T743" s="17" t="n">
        <v>0</v>
      </c>
      <c r="U743" s="18" t="n">
        <v>0</v>
      </c>
    </row>
    <row r="744">
      <c r="A744" s="13" t="n">
        <v>45551</v>
      </c>
      <c r="B744" s="4">
        <f>TEXT(A744,"ddd")</f>
        <v/>
      </c>
      <c r="C744" s="14" t="n">
        <v>2608</v>
      </c>
      <c r="D744" s="14" t="n">
        <v>2617.4</v>
      </c>
      <c r="E744" s="14" t="n">
        <v>2602.5</v>
      </c>
      <c r="F744" s="14" t="n">
        <v>2608.9</v>
      </c>
      <c r="G744" s="9">
        <f>F744-F743</f>
        <v/>
      </c>
      <c r="H744" s="10">
        <f>IF(F743=0,0,G744/F743)</f>
        <v/>
      </c>
      <c r="I744" s="8">
        <f>D744-E744</f>
        <v/>
      </c>
      <c r="J744" s="4">
        <f>IF(F744&gt;C744,"Up",IF(F744&lt;C744,"Down","Flat"))</f>
        <v/>
      </c>
      <c r="K744" s="14" t="n">
        <v>33.5</v>
      </c>
      <c r="L744" s="15" t="n">
        <v>68.48999999999999</v>
      </c>
      <c r="M744" s="14" t="n">
        <v>2543.54</v>
      </c>
      <c r="N744" s="14" t="n">
        <v>2488.95</v>
      </c>
      <c r="O744" s="14" t="n">
        <v>2301.33</v>
      </c>
      <c r="P744" s="4">
        <f>IF(O744="","",IF(F744&gt;O744,"Above","Below"))</f>
        <v/>
      </c>
      <c r="Q744" s="16" t="n">
        <v>127576</v>
      </c>
      <c r="R744" s="17" t="n">
        <v>0</v>
      </c>
      <c r="S744" s="17" t="n">
        <v>0</v>
      </c>
      <c r="T744" s="17" t="n">
        <v>0</v>
      </c>
      <c r="U744" s="18" t="n">
        <v>0</v>
      </c>
    </row>
    <row r="745">
      <c r="A745" s="13" t="n">
        <v>45552</v>
      </c>
      <c r="B745" s="4">
        <f>TEXT(A745,"ddd")</f>
        <v/>
      </c>
      <c r="C745" s="14" t="n">
        <v>2609.8</v>
      </c>
      <c r="D745" s="14" t="n">
        <v>2613.7</v>
      </c>
      <c r="E745" s="14" t="n">
        <v>2587.3</v>
      </c>
      <c r="F745" s="14" t="n">
        <v>2592.4</v>
      </c>
      <c r="G745" s="9">
        <f>F745-F744</f>
        <v/>
      </c>
      <c r="H745" s="10">
        <f>IF(F744=0,0,G745/F744)</f>
        <v/>
      </c>
      <c r="I745" s="8">
        <f>D745-E745</f>
        <v/>
      </c>
      <c r="J745" s="4">
        <f>IF(F745&gt;C745,"Up",IF(F745&lt;C745,"Down","Flat"))</f>
        <v/>
      </c>
      <c r="K745" s="14" t="n">
        <v>32.99</v>
      </c>
      <c r="L745" s="15" t="n">
        <v>63.6</v>
      </c>
      <c r="M745" s="14" t="n">
        <v>2548.2</v>
      </c>
      <c r="N745" s="14" t="n">
        <v>2493.01</v>
      </c>
      <c r="O745" s="14" t="n">
        <v>2304.22</v>
      </c>
      <c r="P745" s="4">
        <f>IF(O745="","",IF(F745&gt;O745,"Above","Below"))</f>
        <v/>
      </c>
      <c r="Q745" s="16" t="n">
        <v>159525</v>
      </c>
      <c r="R745" s="17" t="n">
        <v>0</v>
      </c>
      <c r="S745" s="17" t="n">
        <v>0</v>
      </c>
      <c r="T745" s="17" t="n">
        <v>0</v>
      </c>
      <c r="U745" s="18" t="n">
        <v>0</v>
      </c>
    </row>
    <row r="746">
      <c r="A746" s="13" t="n">
        <v>45553</v>
      </c>
      <c r="B746" s="4">
        <f>TEXT(A746,"ddd")</f>
        <v/>
      </c>
      <c r="C746" s="14" t="n">
        <v>2596</v>
      </c>
      <c r="D746" s="14" t="n">
        <v>2627.2</v>
      </c>
      <c r="E746" s="14" t="n">
        <v>2572.5</v>
      </c>
      <c r="F746" s="14" t="n">
        <v>2598.6</v>
      </c>
      <c r="G746" s="9">
        <f>F746-F745</f>
        <v/>
      </c>
      <c r="H746" s="10">
        <f>IF(F745=0,0,G746/F745)</f>
        <v/>
      </c>
      <c r="I746" s="8">
        <f>D746-E746</f>
        <v/>
      </c>
      <c r="J746" s="4">
        <f>IF(F746&gt;C746,"Up",IF(F746&lt;C746,"Down","Flat"))</f>
        <v/>
      </c>
      <c r="K746" s="14" t="n">
        <v>34.54</v>
      </c>
      <c r="L746" s="15" t="n">
        <v>64.63</v>
      </c>
      <c r="M746" s="14" t="n">
        <v>2553</v>
      </c>
      <c r="N746" s="14" t="n">
        <v>2497.15</v>
      </c>
      <c r="O746" s="14" t="n">
        <v>2307.15</v>
      </c>
      <c r="P746" s="4">
        <f>IF(O746="","",IF(F746&gt;O746,"Above","Below"))</f>
        <v/>
      </c>
      <c r="Q746" s="16" t="n">
        <v>233128</v>
      </c>
      <c r="R746" s="17" t="n">
        <v>0</v>
      </c>
      <c r="S746" s="17" t="n">
        <v>0</v>
      </c>
      <c r="T746" s="17" t="n">
        <v>0</v>
      </c>
      <c r="U746" s="18" t="n">
        <v>0</v>
      </c>
    </row>
    <row r="747">
      <c r="A747" s="13" t="n">
        <v>45554</v>
      </c>
      <c r="B747" s="4">
        <f>TEXT(A747,"ddd")</f>
        <v/>
      </c>
      <c r="C747" s="14" t="n">
        <v>2585.1</v>
      </c>
      <c r="D747" s="14" t="n">
        <v>2620.5</v>
      </c>
      <c r="E747" s="14" t="n">
        <v>2575.3</v>
      </c>
      <c r="F747" s="14" t="n">
        <v>2614.6</v>
      </c>
      <c r="G747" s="9">
        <f>F747-F746</f>
        <v/>
      </c>
      <c r="H747" s="10">
        <f>IF(F746=0,0,G747/F746)</f>
        <v/>
      </c>
      <c r="I747" s="8">
        <f>D747-E747</f>
        <v/>
      </c>
      <c r="J747" s="4">
        <f>IF(F747&gt;C747,"Up",IF(F747&lt;C747,"Down","Flat"))</f>
        <v/>
      </c>
      <c r="K747" s="14" t="n">
        <v>35.31</v>
      </c>
      <c r="L747" s="15" t="n">
        <v>67.18000000000001</v>
      </c>
      <c r="M747" s="14" t="n">
        <v>2558.86</v>
      </c>
      <c r="N747" s="14" t="n">
        <v>2501.75</v>
      </c>
      <c r="O747" s="14" t="n">
        <v>2310.21</v>
      </c>
      <c r="P747" s="4">
        <f>IF(O747="","",IF(F747&gt;O747,"Above","Below"))</f>
        <v/>
      </c>
      <c r="Q747" s="16" t="n">
        <v>204475</v>
      </c>
      <c r="R747" s="17" t="n">
        <v>0</v>
      </c>
      <c r="S747" s="17" t="n">
        <v>0</v>
      </c>
      <c r="T747" s="17" t="n">
        <v>0</v>
      </c>
      <c r="U747" s="18" t="n">
        <v>0</v>
      </c>
    </row>
    <row r="748">
      <c r="A748" s="13" t="n">
        <v>45555</v>
      </c>
      <c r="B748" s="4">
        <f>TEXT(A748,"ddd")</f>
        <v/>
      </c>
      <c r="C748" s="14" t="n">
        <v>2611.2</v>
      </c>
      <c r="D748" s="14" t="n">
        <v>2651</v>
      </c>
      <c r="E748" s="14" t="n">
        <v>2608.7</v>
      </c>
      <c r="F748" s="14" t="n">
        <v>2646.2</v>
      </c>
      <c r="G748" s="9">
        <f>F748-F747</f>
        <v/>
      </c>
      <c r="H748" s="10">
        <f>IF(F747=0,0,G748/F747)</f>
        <v/>
      </c>
      <c r="I748" s="8">
        <f>D748-E748</f>
        <v/>
      </c>
      <c r="J748" s="4">
        <f>IF(F748&gt;C748,"Up",IF(F748&lt;C748,"Down","Flat"))</f>
        <v/>
      </c>
      <c r="K748" s="14" t="n">
        <v>35.81</v>
      </c>
      <c r="L748" s="15" t="n">
        <v>71.56</v>
      </c>
      <c r="M748" s="14" t="n">
        <v>2567.18</v>
      </c>
      <c r="N748" s="14" t="n">
        <v>2507.42</v>
      </c>
      <c r="O748" s="14" t="n">
        <v>2313.55</v>
      </c>
      <c r="P748" s="4">
        <f>IF(O748="","",IF(F748&gt;O748,"Above","Below"))</f>
        <v/>
      </c>
      <c r="Q748" s="16" t="n">
        <v>207209</v>
      </c>
      <c r="R748" s="17" t="n">
        <v>0</v>
      </c>
      <c r="S748" s="17" t="n">
        <v>0</v>
      </c>
      <c r="T748" s="17" t="n">
        <v>0</v>
      </c>
      <c r="U748" s="18" t="n">
        <v>0</v>
      </c>
    </row>
    <row r="749">
      <c r="A749" s="13" t="n">
        <v>45558</v>
      </c>
      <c r="B749" s="4">
        <f>TEXT(A749,"ddd")</f>
        <v/>
      </c>
      <c r="C749" s="14" t="n">
        <v>2646.2</v>
      </c>
      <c r="D749" s="14" t="n">
        <v>2659.8</v>
      </c>
      <c r="E749" s="14" t="n">
        <v>2638.6</v>
      </c>
      <c r="F749" s="14" t="n">
        <v>2652.5</v>
      </c>
      <c r="G749" s="9">
        <f>F749-F748</f>
        <v/>
      </c>
      <c r="H749" s="10">
        <f>IF(F748=0,0,G749/F748)</f>
        <v/>
      </c>
      <c r="I749" s="8">
        <f>D749-E749</f>
        <v/>
      </c>
      <c r="J749" s="4">
        <f>IF(F749&gt;C749,"Up",IF(F749&lt;C749,"Down","Flat"))</f>
        <v/>
      </c>
      <c r="K749" s="14" t="n">
        <v>34.76</v>
      </c>
      <c r="L749" s="15" t="n">
        <v>72.34999999999999</v>
      </c>
      <c r="M749" s="14" t="n">
        <v>2575.31</v>
      </c>
      <c r="N749" s="14" t="n">
        <v>2513.11</v>
      </c>
      <c r="O749" s="14" t="n">
        <v>2316.93</v>
      </c>
      <c r="P749" s="4">
        <f>IF(O749="","",IF(F749&gt;O749,"Above","Below"))</f>
        <v/>
      </c>
      <c r="Q749" s="16" t="n">
        <v>170494</v>
      </c>
      <c r="R749" s="17" t="n">
        <v>0</v>
      </c>
      <c r="S749" s="17" t="n">
        <v>0</v>
      </c>
      <c r="T749" s="17" t="n">
        <v>0</v>
      </c>
      <c r="U749" s="18" t="n">
        <v>0</v>
      </c>
    </row>
    <row r="750">
      <c r="A750" s="13" t="n">
        <v>45559</v>
      </c>
      <c r="B750" s="4">
        <f>TEXT(A750,"ddd")</f>
        <v/>
      </c>
      <c r="C750" s="14" t="n">
        <v>2653.3</v>
      </c>
      <c r="D750" s="14" t="n">
        <v>2689.4</v>
      </c>
      <c r="E750" s="14" t="n">
        <v>2647.1</v>
      </c>
      <c r="F750" s="14" t="n">
        <v>2677</v>
      </c>
      <c r="G750" s="9">
        <f>F750-F749</f>
        <v/>
      </c>
      <c r="H750" s="10">
        <f>IF(F749=0,0,G750/F749)</f>
        <v/>
      </c>
      <c r="I750" s="8">
        <f>D750-E750</f>
        <v/>
      </c>
      <c r="J750" s="4">
        <f>IF(F750&gt;C750,"Up",IF(F750&lt;C750,"Down","Flat"))</f>
        <v/>
      </c>
      <c r="K750" s="14" t="n">
        <v>35.3</v>
      </c>
      <c r="L750" s="15" t="n">
        <v>75.23999999999999</v>
      </c>
      <c r="M750" s="14" t="n">
        <v>2584.99</v>
      </c>
      <c r="N750" s="14" t="n">
        <v>2519.54</v>
      </c>
      <c r="O750" s="14" t="n">
        <v>2320.51</v>
      </c>
      <c r="P750" s="4">
        <f>IF(O750="","",IF(F750&gt;O750,"Above","Below"))</f>
        <v/>
      </c>
      <c r="Q750" s="16" t="n">
        <v>216553</v>
      </c>
      <c r="R750" s="17" t="n">
        <v>0</v>
      </c>
      <c r="S750" s="17" t="n">
        <v>0</v>
      </c>
      <c r="T750" s="17" t="n">
        <v>0</v>
      </c>
      <c r="U750" s="18" t="n">
        <v>0</v>
      </c>
    </row>
    <row r="751">
      <c r="A751" s="13" t="n">
        <v>45560</v>
      </c>
      <c r="B751" s="4">
        <f>TEXT(A751,"ddd")</f>
        <v/>
      </c>
      <c r="C751" s="14" t="n">
        <v>2682.8</v>
      </c>
      <c r="D751" s="14" t="n">
        <v>2694.9</v>
      </c>
      <c r="E751" s="14" t="n">
        <v>2673.4</v>
      </c>
      <c r="F751" s="14" t="n">
        <v>2684.7</v>
      </c>
      <c r="G751" s="9">
        <f>F751-F750</f>
        <v/>
      </c>
      <c r="H751" s="10">
        <f>IF(F750=0,0,G751/F750)</f>
        <v/>
      </c>
      <c r="I751" s="8">
        <f>D751-E751</f>
        <v/>
      </c>
      <c r="J751" s="4">
        <f>IF(F751&gt;C751,"Up",IF(F751&lt;C751,"Down","Flat"))</f>
        <v/>
      </c>
      <c r="K751" s="14" t="n">
        <v>34.31</v>
      </c>
      <c r="L751" s="15" t="n">
        <v>76.09</v>
      </c>
      <c r="M751" s="14" t="n">
        <v>2594.49</v>
      </c>
      <c r="N751" s="14" t="n">
        <v>2526.01</v>
      </c>
      <c r="O751" s="14" t="n">
        <v>2324.13</v>
      </c>
      <c r="P751" s="4">
        <f>IF(O751="","",IF(F751&gt;O751,"Above","Below"))</f>
        <v/>
      </c>
      <c r="Q751" s="16" t="n">
        <v>189943</v>
      </c>
      <c r="R751" s="17" t="n">
        <v>0</v>
      </c>
      <c r="S751" s="17" t="n">
        <v>0</v>
      </c>
      <c r="T751" s="17" t="n">
        <v>0</v>
      </c>
      <c r="U751" s="18" t="n">
        <v>0</v>
      </c>
    </row>
    <row r="752">
      <c r="A752" s="13" t="n">
        <v>45561</v>
      </c>
      <c r="B752" s="4">
        <f>TEXT(A752,"ddd")</f>
        <v/>
      </c>
      <c r="C752" s="14" t="n">
        <v>2681.2</v>
      </c>
      <c r="D752" s="14" t="n">
        <v>2708.7</v>
      </c>
      <c r="E752" s="14" t="n">
        <v>2677.5</v>
      </c>
      <c r="F752" s="14" t="n">
        <v>2694.9</v>
      </c>
      <c r="G752" s="9">
        <f>F752-F751</f>
        <v/>
      </c>
      <c r="H752" s="10">
        <f>IF(F751=0,0,G752/F751)</f>
        <v/>
      </c>
      <c r="I752" s="8">
        <f>D752-E752</f>
        <v/>
      </c>
      <c r="J752" s="4">
        <f>IF(F752&gt;C752,"Up",IF(F752&lt;C752,"Down","Flat"))</f>
        <v/>
      </c>
      <c r="K752" s="14" t="n">
        <v>34.09</v>
      </c>
      <c r="L752" s="15" t="n">
        <v>77.2</v>
      </c>
      <c r="M752" s="14" t="n">
        <v>2604.05</v>
      </c>
      <c r="N752" s="14" t="n">
        <v>2532.64</v>
      </c>
      <c r="O752" s="14" t="n">
        <v>2327.82</v>
      </c>
      <c r="P752" s="4">
        <f>IF(O752="","",IF(F752&gt;O752,"Above","Below"))</f>
        <v/>
      </c>
      <c r="Q752" s="16" t="n">
        <v>217643</v>
      </c>
      <c r="R752" s="17" t="n">
        <v>0</v>
      </c>
      <c r="S752" s="17" t="n">
        <v>0</v>
      </c>
      <c r="T752" s="17" t="n">
        <v>0</v>
      </c>
      <c r="U752" s="18" t="n">
        <v>0</v>
      </c>
    </row>
    <row r="753">
      <c r="A753" s="13" t="n">
        <v>45562</v>
      </c>
      <c r="B753" s="4">
        <f>TEXT(A753,"ddd")</f>
        <v/>
      </c>
      <c r="C753" s="14" t="n">
        <v>2695.1</v>
      </c>
      <c r="D753" s="14" t="n">
        <v>2696.9</v>
      </c>
      <c r="E753" s="14" t="n">
        <v>2665.3</v>
      </c>
      <c r="F753" s="14" t="n">
        <v>2668.1</v>
      </c>
      <c r="G753" s="9">
        <f>F753-F752</f>
        <v/>
      </c>
      <c r="H753" s="10">
        <f>IF(F752=0,0,G753/F752)</f>
        <v/>
      </c>
      <c r="I753" s="8">
        <f>D753-E753</f>
        <v/>
      </c>
      <c r="J753" s="4">
        <f>IF(F753&gt;C753,"Up",IF(F753&lt;C753,"Down","Flat"))</f>
        <v/>
      </c>
      <c r="K753" s="14" t="n">
        <v>33.91</v>
      </c>
      <c r="L753" s="15" t="n">
        <v>68.23</v>
      </c>
      <c r="M753" s="14" t="n">
        <v>2610.15</v>
      </c>
      <c r="N753" s="14" t="n">
        <v>2537.95</v>
      </c>
      <c r="O753" s="14" t="n">
        <v>2331.21</v>
      </c>
      <c r="P753" s="4">
        <f>IF(O753="","",IF(F753&gt;O753,"Above","Below"))</f>
        <v/>
      </c>
      <c r="Q753" s="16" t="n">
        <v>196732</v>
      </c>
      <c r="R753" s="17" t="n">
        <v>0</v>
      </c>
      <c r="S753" s="17" t="n">
        <v>0</v>
      </c>
      <c r="T753" s="17" t="n">
        <v>0</v>
      </c>
      <c r="U753" s="18" t="n">
        <v>0</v>
      </c>
    </row>
    <row r="754">
      <c r="A754" s="13" t="n">
        <v>45565</v>
      </c>
      <c r="B754" s="4">
        <f>TEXT(A754,"ddd")</f>
        <v/>
      </c>
      <c r="C754" s="14" t="n">
        <v>2680.5</v>
      </c>
      <c r="D754" s="14" t="n">
        <v>2687.7</v>
      </c>
      <c r="E754" s="14" t="n">
        <v>2646.2</v>
      </c>
      <c r="F754" s="14" t="n">
        <v>2659.4</v>
      </c>
      <c r="G754" s="9">
        <f>F754-F753</f>
        <v/>
      </c>
      <c r="H754" s="10">
        <f>IF(F753=0,0,G754/F753)</f>
        <v/>
      </c>
      <c r="I754" s="8">
        <f>D754-E754</f>
        <v/>
      </c>
      <c r="J754" s="4">
        <f>IF(F754&gt;C754,"Up",IF(F754&lt;C754,"Down","Flat"))</f>
        <v/>
      </c>
      <c r="K754" s="14" t="n">
        <v>34.46</v>
      </c>
      <c r="L754" s="15" t="n">
        <v>65.56999999999999</v>
      </c>
      <c r="M754" s="14" t="n">
        <v>2614.84</v>
      </c>
      <c r="N754" s="14" t="n">
        <v>2542.71</v>
      </c>
      <c r="O754" s="14" t="n">
        <v>2334.47</v>
      </c>
      <c r="P754" s="4">
        <f>IF(O754="","",IF(F754&gt;O754,"Above","Below"))</f>
        <v/>
      </c>
      <c r="Q754" s="16" t="n">
        <v>173252</v>
      </c>
      <c r="R754" s="17" t="n">
        <v>0</v>
      </c>
      <c r="S754" s="17" t="n">
        <v>0</v>
      </c>
      <c r="T754" s="17" t="n">
        <v>0</v>
      </c>
      <c r="U754" s="18" t="n">
        <v>0</v>
      </c>
    </row>
    <row r="755">
      <c r="A755" s="13" t="n">
        <v>45566</v>
      </c>
      <c r="B755" s="4">
        <f>TEXT(A755,"ddd")</f>
        <v/>
      </c>
      <c r="C755" s="14" t="n">
        <v>2656.1</v>
      </c>
      <c r="D755" s="14" t="n">
        <v>2694.7</v>
      </c>
      <c r="E755" s="14" t="n">
        <v>2653.8</v>
      </c>
      <c r="F755" s="14" t="n">
        <v>2690.3</v>
      </c>
      <c r="G755" s="9">
        <f>F755-F754</f>
        <v/>
      </c>
      <c r="H755" s="10">
        <f>IF(F754=0,0,G755/F754)</f>
        <v/>
      </c>
      <c r="I755" s="8">
        <f>D755-E755</f>
        <v/>
      </c>
      <c r="J755" s="4">
        <f>IF(F755&gt;C755,"Up",IF(F755&lt;C755,"Down","Flat"))</f>
        <v/>
      </c>
      <c r="K755" s="14" t="n">
        <v>34.92</v>
      </c>
      <c r="L755" s="15" t="n">
        <v>70.04000000000001</v>
      </c>
      <c r="M755" s="14" t="n">
        <v>2622.03</v>
      </c>
      <c r="N755" s="14" t="n">
        <v>2548.5</v>
      </c>
      <c r="O755" s="14" t="n">
        <v>2338.01</v>
      </c>
      <c r="P755" s="4">
        <f>IF(O755="","",IF(F755&gt;O755,"Above","Below"))</f>
        <v/>
      </c>
      <c r="Q755" s="16" t="n">
        <v>202756</v>
      </c>
      <c r="R755" s="17" t="n">
        <v>0</v>
      </c>
      <c r="S755" s="17" t="n">
        <v>0</v>
      </c>
      <c r="T755" s="17" t="n">
        <v>0</v>
      </c>
      <c r="U755" s="18" t="n">
        <v>0</v>
      </c>
    </row>
    <row r="756">
      <c r="A756" s="13" t="n">
        <v>45567</v>
      </c>
      <c r="B756" s="4">
        <f>TEXT(A756,"ddd")</f>
        <v/>
      </c>
      <c r="C756" s="14" t="n">
        <v>2684.6</v>
      </c>
      <c r="D756" s="14" t="n">
        <v>2684.8</v>
      </c>
      <c r="E756" s="14" t="n">
        <v>2662.1</v>
      </c>
      <c r="F756" s="14" t="n">
        <v>2669.7</v>
      </c>
      <c r="G756" s="9">
        <f>F756-F755</f>
        <v/>
      </c>
      <c r="H756" s="10">
        <f>IF(F755=0,0,G756/F755)</f>
        <v/>
      </c>
      <c r="I756" s="8">
        <f>D756-E756</f>
        <v/>
      </c>
      <c r="J756" s="4">
        <f>IF(F756&gt;C756,"Up",IF(F756&lt;C756,"Down","Flat"))</f>
        <v/>
      </c>
      <c r="K756" s="14" t="n">
        <v>34.44</v>
      </c>
      <c r="L756" s="15" t="n">
        <v>64.06999999999999</v>
      </c>
      <c r="M756" s="14" t="n">
        <v>2626.57</v>
      </c>
      <c r="N756" s="14" t="n">
        <v>2553.25</v>
      </c>
      <c r="O756" s="14" t="n">
        <v>2341.31</v>
      </c>
      <c r="P756" s="4">
        <f>IF(O756="","",IF(F756&gt;O756,"Above","Below"))</f>
        <v/>
      </c>
      <c r="Q756" s="16" t="n">
        <v>128680</v>
      </c>
      <c r="R756" s="17" t="n">
        <v>0</v>
      </c>
      <c r="S756" s="17" t="n">
        <v>0</v>
      </c>
      <c r="T756" s="17" t="n">
        <v>0</v>
      </c>
      <c r="U756" s="18" t="n">
        <v>0</v>
      </c>
    </row>
    <row r="757">
      <c r="A757" s="13" t="n">
        <v>45568</v>
      </c>
      <c r="B757" s="4">
        <f>TEXT(A757,"ddd")</f>
        <v/>
      </c>
      <c r="C757" s="14" t="n">
        <v>2679.9</v>
      </c>
      <c r="D757" s="14" t="n">
        <v>2683.4</v>
      </c>
      <c r="E757" s="14" t="n">
        <v>2657.8</v>
      </c>
      <c r="F757" s="14" t="n">
        <v>2679.2</v>
      </c>
      <c r="G757" s="9">
        <f>F757-F756</f>
        <v/>
      </c>
      <c r="H757" s="10">
        <f>IF(F756=0,0,G757/F756)</f>
        <v/>
      </c>
      <c r="I757" s="8">
        <f>D757-E757</f>
        <v/>
      </c>
      <c r="J757" s="4">
        <f>IF(F757&gt;C757,"Up",IF(F757&lt;C757,"Down","Flat"))</f>
        <v/>
      </c>
      <c r="K757" s="14" t="n">
        <v>33.81</v>
      </c>
      <c r="L757" s="15" t="n">
        <v>65.53</v>
      </c>
      <c r="M757" s="14" t="n">
        <v>2631.58</v>
      </c>
      <c r="N757" s="14" t="n">
        <v>2558.19</v>
      </c>
      <c r="O757" s="14" t="n">
        <v>2344.68</v>
      </c>
      <c r="P757" s="4">
        <f>IF(O757="","",IF(F757&gt;O757,"Above","Below"))</f>
        <v/>
      </c>
      <c r="Q757" s="16" t="n">
        <v>138551</v>
      </c>
      <c r="R757" s="17" t="n">
        <v>0</v>
      </c>
      <c r="S757" s="17" t="n">
        <v>0</v>
      </c>
      <c r="T757" s="17" t="n">
        <v>0</v>
      </c>
      <c r="U757" s="18" t="n">
        <v>0</v>
      </c>
    </row>
    <row r="758">
      <c r="A758" s="13" t="n">
        <v>45569</v>
      </c>
      <c r="B758" s="4">
        <f>TEXT(A758,"ddd")</f>
        <v/>
      </c>
      <c r="C758" s="14" t="n">
        <v>2675.7</v>
      </c>
      <c r="D758" s="14" t="n">
        <v>2690.6</v>
      </c>
      <c r="E758" s="14" t="n">
        <v>2651.6</v>
      </c>
      <c r="F758" s="14" t="n">
        <v>2667.8</v>
      </c>
      <c r="G758" s="9">
        <f>F758-F757</f>
        <v/>
      </c>
      <c r="H758" s="10">
        <f>IF(F757=0,0,G758/F757)</f>
        <v/>
      </c>
      <c r="I758" s="8">
        <f>D758-E758</f>
        <v/>
      </c>
      <c r="J758" s="4">
        <f>IF(F758&gt;C758,"Up",IF(F758&lt;C758,"Down","Flat"))</f>
        <v/>
      </c>
      <c r="K758" s="14" t="n">
        <v>34.18</v>
      </c>
      <c r="L758" s="15" t="n">
        <v>62.26</v>
      </c>
      <c r="M758" s="14" t="n">
        <v>2635.03</v>
      </c>
      <c r="N758" s="14" t="n">
        <v>2562.49</v>
      </c>
      <c r="O758" s="14" t="n">
        <v>2347.89</v>
      </c>
      <c r="P758" s="4">
        <f>IF(O758="","",IF(F758&gt;O758,"Above","Below"))</f>
        <v/>
      </c>
      <c r="Q758" s="16" t="n">
        <v>192656</v>
      </c>
      <c r="R758" s="17" t="n">
        <v>0</v>
      </c>
      <c r="S758" s="17" t="n">
        <v>0</v>
      </c>
      <c r="T758" s="17" t="n">
        <v>0</v>
      </c>
      <c r="U758" s="18" t="n">
        <v>0</v>
      </c>
    </row>
    <row r="759">
      <c r="A759" s="13" t="n">
        <v>45572</v>
      </c>
      <c r="B759" s="4">
        <f>TEXT(A759,"ddd")</f>
        <v/>
      </c>
      <c r="C759" s="14" t="n">
        <v>2671.7</v>
      </c>
      <c r="D759" s="14" t="n">
        <v>2679.2</v>
      </c>
      <c r="E759" s="14" t="n">
        <v>2657.3</v>
      </c>
      <c r="F759" s="14" t="n">
        <v>2666</v>
      </c>
      <c r="G759" s="9">
        <f>F759-F758</f>
        <v/>
      </c>
      <c r="H759" s="10">
        <f>IF(F758=0,0,G759/F758)</f>
        <v/>
      </c>
      <c r="I759" s="8">
        <f>D759-E759</f>
        <v/>
      </c>
      <c r="J759" s="4">
        <f>IF(F759&gt;C759,"Up",IF(F759&lt;C759,"Down","Flat"))</f>
        <v/>
      </c>
      <c r="K759" s="14" t="n">
        <v>33.3</v>
      </c>
      <c r="L759" s="15" t="n">
        <v>61.73</v>
      </c>
      <c r="M759" s="14" t="n">
        <v>2637.98</v>
      </c>
      <c r="N759" s="14" t="n">
        <v>2566.55</v>
      </c>
      <c r="O759" s="14" t="n">
        <v>2351.06</v>
      </c>
      <c r="P759" s="4">
        <f>IF(O759="","",IF(F759&gt;O759,"Above","Below"))</f>
        <v/>
      </c>
      <c r="Q759" s="16" t="n">
        <v>130705</v>
      </c>
      <c r="R759" s="17" t="n">
        <v>0</v>
      </c>
      <c r="S759" s="17" t="n">
        <v>0</v>
      </c>
      <c r="T759" s="17" t="n">
        <v>0</v>
      </c>
      <c r="U759" s="18" t="n">
        <v>0</v>
      </c>
    </row>
    <row r="760">
      <c r="A760" s="13" t="n">
        <v>45573</v>
      </c>
      <c r="B760" s="4">
        <f>TEXT(A760,"ddd")</f>
        <v/>
      </c>
      <c r="C760" s="14" t="n">
        <v>2662.8</v>
      </c>
      <c r="D760" s="14" t="n">
        <v>2672.4</v>
      </c>
      <c r="E760" s="14" t="n">
        <v>2623.4</v>
      </c>
      <c r="F760" s="14" t="n">
        <v>2635.4</v>
      </c>
      <c r="G760" s="9">
        <f>F760-F759</f>
        <v/>
      </c>
      <c r="H760" s="10">
        <f>IF(F759=0,0,G760/F759)</f>
        <v/>
      </c>
      <c r="I760" s="8">
        <f>D760-E760</f>
        <v/>
      </c>
      <c r="J760" s="4">
        <f>IF(F760&gt;C760,"Up",IF(F760&lt;C760,"Down","Flat"))</f>
        <v/>
      </c>
      <c r="K760" s="14" t="n">
        <v>34.42</v>
      </c>
      <c r="L760" s="15" t="n">
        <v>53.5</v>
      </c>
      <c r="M760" s="14" t="n">
        <v>2637.73</v>
      </c>
      <c r="N760" s="14" t="n">
        <v>2569.25</v>
      </c>
      <c r="O760" s="14" t="n">
        <v>2353.89</v>
      </c>
      <c r="P760" s="4">
        <f>IF(O760="","",IF(F760&gt;O760,"Above","Below"))</f>
        <v/>
      </c>
      <c r="Q760" s="16" t="n">
        <v>233849</v>
      </c>
      <c r="R760" s="17" t="n">
        <v>0</v>
      </c>
      <c r="S760" s="17" t="n">
        <v>0</v>
      </c>
      <c r="T760" s="17" t="n">
        <v>0</v>
      </c>
      <c r="U760" s="18" t="n">
        <v>0</v>
      </c>
    </row>
    <row r="761">
      <c r="A761" s="13" t="n">
        <v>45574</v>
      </c>
      <c r="B761" s="4">
        <f>TEXT(A761,"ddd")</f>
        <v/>
      </c>
      <c r="C761" s="14" t="n">
        <v>2640.7</v>
      </c>
      <c r="D761" s="14" t="n">
        <v>2642.9</v>
      </c>
      <c r="E761" s="14" t="n">
        <v>2622.8</v>
      </c>
      <c r="F761" s="14" t="n">
        <v>2626</v>
      </c>
      <c r="G761" s="9">
        <f>F761-F760</f>
        <v/>
      </c>
      <c r="H761" s="10">
        <f>IF(F760=0,0,G761/F760)</f>
        <v/>
      </c>
      <c r="I761" s="8">
        <f>D761-E761</f>
        <v/>
      </c>
      <c r="J761" s="4">
        <f>IF(F761&gt;C761,"Up",IF(F761&lt;C761,"Down","Flat"))</f>
        <v/>
      </c>
      <c r="K761" s="14" t="n">
        <v>33.4</v>
      </c>
      <c r="L761" s="15" t="n">
        <v>51.23</v>
      </c>
      <c r="M761" s="14" t="n">
        <v>2636.62</v>
      </c>
      <c r="N761" s="14" t="n">
        <v>2571.47</v>
      </c>
      <c r="O761" s="14" t="n">
        <v>2356.59</v>
      </c>
      <c r="P761" s="4">
        <f>IF(O761="","",IF(F761&gt;O761,"Above","Below"))</f>
        <v/>
      </c>
      <c r="Q761" s="16" t="n">
        <v>143000</v>
      </c>
      <c r="R761" s="17" t="n">
        <v>0</v>
      </c>
      <c r="S761" s="17" t="n">
        <v>0</v>
      </c>
      <c r="T761" s="17" t="n">
        <v>0</v>
      </c>
      <c r="U761" s="18" t="n">
        <v>0</v>
      </c>
    </row>
    <row r="762">
      <c r="A762" s="13" t="n">
        <v>45575</v>
      </c>
      <c r="B762" s="4">
        <f>TEXT(A762,"ddd")</f>
        <v/>
      </c>
      <c r="C762" s="14" t="n">
        <v>2625.8</v>
      </c>
      <c r="D762" s="14" t="n">
        <v>2648.9</v>
      </c>
      <c r="E762" s="14" t="n">
        <v>2618.8</v>
      </c>
      <c r="F762" s="14" t="n">
        <v>2639.3</v>
      </c>
      <c r="G762" s="9">
        <f>F762-F761</f>
        <v/>
      </c>
      <c r="H762" s="10">
        <f>IF(F761=0,0,G762/F761)</f>
        <v/>
      </c>
      <c r="I762" s="8">
        <f>D762-E762</f>
        <v/>
      </c>
      <c r="J762" s="4">
        <f>IF(F762&gt;C762,"Up",IF(F762&lt;C762,"Down","Flat"))</f>
        <v/>
      </c>
      <c r="K762" s="14" t="n">
        <v>33.16</v>
      </c>
      <c r="L762" s="15" t="n">
        <v>54.19</v>
      </c>
      <c r="M762" s="14" t="n">
        <v>2636.87</v>
      </c>
      <c r="N762" s="14" t="n">
        <v>2574.13</v>
      </c>
      <c r="O762" s="14" t="n">
        <v>2359.41</v>
      </c>
      <c r="P762" s="4">
        <f>IF(O762="","",IF(F762&gt;O762,"Above","Below"))</f>
        <v/>
      </c>
      <c r="Q762" s="16" t="n">
        <v>195581</v>
      </c>
      <c r="R762" s="17" t="n">
        <v>0</v>
      </c>
      <c r="S762" s="17" t="n">
        <v>0</v>
      </c>
      <c r="T762" s="17" t="n">
        <v>0</v>
      </c>
      <c r="U762" s="18" t="n">
        <v>0</v>
      </c>
    </row>
    <row r="763">
      <c r="A763" s="13" t="n">
        <v>45576</v>
      </c>
      <c r="B763" s="4">
        <f>TEXT(A763,"ddd")</f>
        <v/>
      </c>
      <c r="C763" s="14" t="n">
        <v>2647.4</v>
      </c>
      <c r="D763" s="14" t="n">
        <v>2679</v>
      </c>
      <c r="E763" s="14" t="n">
        <v>2645.3</v>
      </c>
      <c r="F763" s="14" t="n">
        <v>2676.3</v>
      </c>
      <c r="G763" s="9">
        <f>F763-F762</f>
        <v/>
      </c>
      <c r="H763" s="10">
        <f>IF(F762=0,0,G763/F762)</f>
        <v/>
      </c>
      <c r="I763" s="8">
        <f>D763-E763</f>
        <v/>
      </c>
      <c r="J763" s="4">
        <f>IF(F763&gt;C763,"Up",IF(F763&lt;C763,"Down","Flat"))</f>
        <v/>
      </c>
      <c r="K763" s="14" t="n">
        <v>33.63</v>
      </c>
      <c r="L763" s="15" t="n">
        <v>61.22</v>
      </c>
      <c r="M763" s="14" t="n">
        <v>2640.63</v>
      </c>
      <c r="N763" s="14" t="n">
        <v>2578.14</v>
      </c>
      <c r="O763" s="14" t="n">
        <v>2362.56</v>
      </c>
      <c r="P763" s="4">
        <f>IF(O763="","",IF(F763&gt;O763,"Above","Below"))</f>
        <v/>
      </c>
      <c r="Q763" s="16" t="n">
        <v>168597</v>
      </c>
      <c r="R763" s="17" t="n">
        <v>0</v>
      </c>
      <c r="S763" s="17" t="n">
        <v>0</v>
      </c>
      <c r="T763" s="17" t="n">
        <v>0</v>
      </c>
      <c r="U763" s="18" t="n">
        <v>0</v>
      </c>
    </row>
    <row r="764">
      <c r="A764" s="13" t="n">
        <v>45579</v>
      </c>
      <c r="B764" s="4">
        <f>TEXT(A764,"ddd")</f>
        <v/>
      </c>
      <c r="C764" s="14" t="n">
        <v>2673.1</v>
      </c>
      <c r="D764" s="14" t="n">
        <v>2684.2</v>
      </c>
      <c r="E764" s="14" t="n">
        <v>2660</v>
      </c>
      <c r="F764" s="14" t="n">
        <v>2665.6</v>
      </c>
      <c r="G764" s="9">
        <f>F764-F763</f>
        <v/>
      </c>
      <c r="H764" s="10">
        <f>IF(F763=0,0,G764/F763)</f>
        <v/>
      </c>
      <c r="I764" s="8">
        <f>D764-E764</f>
        <v/>
      </c>
      <c r="J764" s="4">
        <f>IF(F764&gt;C764,"Up",IF(F764&lt;C764,"Down","Flat"))</f>
        <v/>
      </c>
      <c r="K764" s="14" t="n">
        <v>32.96</v>
      </c>
      <c r="L764" s="15" t="n">
        <v>58.43</v>
      </c>
      <c r="M764" s="14" t="n">
        <v>2643.01</v>
      </c>
      <c r="N764" s="14" t="n">
        <v>2581.57</v>
      </c>
      <c r="O764" s="14" t="n">
        <v>2365.57</v>
      </c>
      <c r="P764" s="4">
        <f>IF(O764="","",IF(F764&gt;O764,"Above","Below"))</f>
        <v/>
      </c>
      <c r="Q764" s="16" t="n">
        <v>123361</v>
      </c>
      <c r="R764" s="17" t="n">
        <v>0</v>
      </c>
      <c r="S764" s="17" t="n">
        <v>0</v>
      </c>
      <c r="T764" s="17" t="n">
        <v>0</v>
      </c>
      <c r="U764" s="18" t="n">
        <v>0</v>
      </c>
    </row>
    <row r="765">
      <c r="A765" s="13" t="n">
        <v>45580</v>
      </c>
      <c r="B765" s="4">
        <f>TEXT(A765,"ddd")</f>
        <v/>
      </c>
      <c r="C765" s="14" t="n">
        <v>2663.5</v>
      </c>
      <c r="D765" s="14" t="n">
        <v>2685.9</v>
      </c>
      <c r="E765" s="14" t="n">
        <v>2654.4</v>
      </c>
      <c r="F765" s="14" t="n">
        <v>2678.9</v>
      </c>
      <c r="G765" s="9">
        <f>F765-F764</f>
        <v/>
      </c>
      <c r="H765" s="10">
        <f>IF(F764=0,0,G765/F764)</f>
        <v/>
      </c>
      <c r="I765" s="8">
        <f>D765-E765</f>
        <v/>
      </c>
      <c r="J765" s="4">
        <f>IF(F765&gt;C765,"Up",IF(F765&lt;C765,"Down","Flat"))</f>
        <v/>
      </c>
      <c r="K765" s="14" t="n">
        <v>32.85</v>
      </c>
      <c r="L765" s="15" t="n">
        <v>60.82</v>
      </c>
      <c r="M765" s="14" t="n">
        <v>2646.42</v>
      </c>
      <c r="N765" s="14" t="n">
        <v>2585.39</v>
      </c>
      <c r="O765" s="14" t="n">
        <v>2368.69</v>
      </c>
      <c r="P765" s="4">
        <f>IF(O765="","",IF(F765&gt;O765,"Above","Below"))</f>
        <v/>
      </c>
      <c r="Q765" s="16" t="n">
        <v>160564</v>
      </c>
      <c r="R765" s="17" t="n">
        <v>0</v>
      </c>
      <c r="S765" s="17" t="n">
        <v>0</v>
      </c>
      <c r="T765" s="17" t="n">
        <v>0</v>
      </c>
      <c r="U765" s="18" t="n">
        <v>0</v>
      </c>
    </row>
    <row r="766">
      <c r="A766" s="13" t="n">
        <v>45581</v>
      </c>
      <c r="B766" s="4">
        <f>TEXT(A766,"ddd")</f>
        <v/>
      </c>
      <c r="C766" s="14" t="n">
        <v>2679.5</v>
      </c>
      <c r="D766" s="14" t="n">
        <v>2702.5</v>
      </c>
      <c r="E766" s="14" t="n">
        <v>2674.9</v>
      </c>
      <c r="F766" s="14" t="n">
        <v>2691.3</v>
      </c>
      <c r="G766" s="9">
        <f>F766-F765</f>
        <v/>
      </c>
      <c r="H766" s="10">
        <f>IF(F765=0,0,G766/F765)</f>
        <v/>
      </c>
      <c r="I766" s="8">
        <f>D766-E766</f>
        <v/>
      </c>
      <c r="J766" s="4">
        <f>IF(F766&gt;C766,"Up",IF(F766&lt;C766,"Down","Flat"))</f>
        <v/>
      </c>
      <c r="K766" s="14" t="n">
        <v>32.48</v>
      </c>
      <c r="L766" s="15" t="n">
        <v>62.96</v>
      </c>
      <c r="M766" s="14" t="n">
        <v>2650.7</v>
      </c>
      <c r="N766" s="14" t="n">
        <v>2589.54</v>
      </c>
      <c r="O766" s="14" t="n">
        <v>2371.9</v>
      </c>
      <c r="P766" s="4">
        <f>IF(O766="","",IF(F766&gt;O766,"Above","Below"))</f>
        <v/>
      </c>
      <c r="Q766" s="16" t="n">
        <v>156877</v>
      </c>
      <c r="R766" s="17" t="n">
        <v>0</v>
      </c>
      <c r="S766" s="17" t="n">
        <v>0</v>
      </c>
      <c r="T766" s="17" t="n">
        <v>0</v>
      </c>
      <c r="U766" s="18" t="n">
        <v>0</v>
      </c>
    </row>
    <row r="767">
      <c r="A767" s="13" t="n">
        <v>45582</v>
      </c>
      <c r="B767" s="4">
        <f>TEXT(A767,"ddd")</f>
        <v/>
      </c>
      <c r="C767" s="14" t="n">
        <v>2690.4</v>
      </c>
      <c r="D767" s="14" t="n">
        <v>2712.7</v>
      </c>
      <c r="E767" s="14" t="n">
        <v>2688.2</v>
      </c>
      <c r="F767" s="14" t="n">
        <v>2707.5</v>
      </c>
      <c r="G767" s="9">
        <f>F767-F766</f>
        <v/>
      </c>
      <c r="H767" s="10">
        <f>IF(F766=0,0,G767/F766)</f>
        <v/>
      </c>
      <c r="I767" s="8">
        <f>D767-E767</f>
        <v/>
      </c>
      <c r="J767" s="4">
        <f>IF(F767&gt;C767,"Up",IF(F767&lt;C767,"Down","Flat"))</f>
        <v/>
      </c>
      <c r="K767" s="14" t="n">
        <v>31.91</v>
      </c>
      <c r="L767" s="15" t="n">
        <v>65.59999999999999</v>
      </c>
      <c r="M767" s="14" t="n">
        <v>2656.11</v>
      </c>
      <c r="N767" s="14" t="n">
        <v>2594.17</v>
      </c>
      <c r="O767" s="14" t="n">
        <v>2375.24</v>
      </c>
      <c r="P767" s="4">
        <f>IF(O767="","",IF(F767&gt;O767,"Above","Below"))</f>
        <v/>
      </c>
      <c r="Q767" s="16" t="n">
        <v>181816</v>
      </c>
      <c r="R767" s="17" t="n">
        <v>0</v>
      </c>
      <c r="S767" s="17" t="n">
        <v>0</v>
      </c>
      <c r="T767" s="17" t="n">
        <v>0</v>
      </c>
      <c r="U767" s="18" t="n">
        <v>0</v>
      </c>
    </row>
    <row r="768">
      <c r="A768" s="13" t="n">
        <v>45583</v>
      </c>
      <c r="B768" s="4">
        <f>TEXT(A768,"ddd")</f>
        <v/>
      </c>
      <c r="C768" s="14" t="n">
        <v>2707.8</v>
      </c>
      <c r="D768" s="14" t="n">
        <v>2737.8</v>
      </c>
      <c r="E768" s="14" t="n">
        <v>2707.3</v>
      </c>
      <c r="F768" s="14" t="n">
        <v>2730</v>
      </c>
      <c r="G768" s="9">
        <f>F768-F767</f>
        <v/>
      </c>
      <c r="H768" s="10">
        <f>IF(F767=0,0,G768/F767)</f>
        <v/>
      </c>
      <c r="I768" s="8">
        <f>D768-E768</f>
        <v/>
      </c>
      <c r="J768" s="4">
        <f>IF(F768&gt;C768,"Up",IF(F768&lt;C768,"Down","Flat"))</f>
        <v/>
      </c>
      <c r="K768" s="14" t="n">
        <v>31.81</v>
      </c>
      <c r="L768" s="15" t="n">
        <v>68.92</v>
      </c>
      <c r="M768" s="14" t="n">
        <v>2663.14</v>
      </c>
      <c r="N768" s="14" t="n">
        <v>2599.49</v>
      </c>
      <c r="O768" s="14" t="n">
        <v>2378.77</v>
      </c>
      <c r="P768" s="4">
        <f>IF(O768="","",IF(F768&gt;O768,"Above","Below"))</f>
        <v/>
      </c>
      <c r="Q768" s="16" t="n">
        <v>178959</v>
      </c>
      <c r="R768" s="17" t="n">
        <v>0</v>
      </c>
      <c r="S768" s="17" t="n">
        <v>0</v>
      </c>
      <c r="T768" s="17" t="n">
        <v>0</v>
      </c>
      <c r="U768" s="18" t="n">
        <v>0</v>
      </c>
    </row>
    <row r="769">
      <c r="A769" s="13" t="n">
        <v>45586</v>
      </c>
      <c r="B769" s="4">
        <f>TEXT(A769,"ddd")</f>
        <v/>
      </c>
      <c r="C769" s="14" t="n">
        <v>2736.3</v>
      </c>
      <c r="D769" s="14" t="n">
        <v>2755.4</v>
      </c>
      <c r="E769" s="14" t="n">
        <v>2728.5</v>
      </c>
      <c r="F769" s="14" t="n">
        <v>2738.9</v>
      </c>
      <c r="G769" s="9">
        <f>F769-F768</f>
        <v/>
      </c>
      <c r="H769" s="10">
        <f>IF(F768=0,0,G769/F768)</f>
        <v/>
      </c>
      <c r="I769" s="8">
        <f>D769-E769</f>
        <v/>
      </c>
      <c r="J769" s="4">
        <f>IF(F769&gt;C769,"Up",IF(F769&lt;C769,"Down","Flat"))</f>
        <v/>
      </c>
      <c r="K769" s="14" t="n">
        <v>31.46</v>
      </c>
      <c r="L769" s="15" t="n">
        <v>70.15000000000001</v>
      </c>
      <c r="M769" s="14" t="n">
        <v>2670.36</v>
      </c>
      <c r="N769" s="14" t="n">
        <v>2604.96</v>
      </c>
      <c r="O769" s="14" t="n">
        <v>2382.36</v>
      </c>
      <c r="P769" s="4">
        <f>IF(O769="","",IF(F769&gt;O769,"Above","Below"))</f>
        <v/>
      </c>
      <c r="Q769" s="16" t="n">
        <v>210450</v>
      </c>
      <c r="R769" s="17" t="n">
        <v>0</v>
      </c>
      <c r="S769" s="17" t="n">
        <v>0</v>
      </c>
      <c r="T769" s="17" t="n">
        <v>0</v>
      </c>
      <c r="U769" s="18" t="n">
        <v>0</v>
      </c>
    </row>
    <row r="770">
      <c r="A770" s="13" t="n">
        <v>45587</v>
      </c>
      <c r="B770" s="4">
        <f>TEXT(A770,"ddd")</f>
        <v/>
      </c>
      <c r="C770" s="14" t="n">
        <v>2734.7</v>
      </c>
      <c r="D770" s="14" t="n">
        <v>2763.3</v>
      </c>
      <c r="E770" s="14" t="n">
        <v>2733.5</v>
      </c>
      <c r="F770" s="14" t="n">
        <v>2759.8</v>
      </c>
      <c r="G770" s="9">
        <f>F770-F769</f>
        <v/>
      </c>
      <c r="H770" s="10">
        <f>IF(F769=0,0,G770/F769)</f>
        <v/>
      </c>
      <c r="I770" s="8">
        <f>D770-E770</f>
        <v/>
      </c>
      <c r="J770" s="4">
        <f>IF(F770&gt;C770,"Up",IF(F770&lt;C770,"Down","Flat"))</f>
        <v/>
      </c>
      <c r="K770" s="14" t="n">
        <v>31.34</v>
      </c>
      <c r="L770" s="15" t="n">
        <v>72.86</v>
      </c>
      <c r="M770" s="14" t="n">
        <v>2678.88</v>
      </c>
      <c r="N770" s="14" t="n">
        <v>2611.03</v>
      </c>
      <c r="O770" s="14" t="n">
        <v>2386.11</v>
      </c>
      <c r="P770" s="4">
        <f>IF(O770="","",IF(F770&gt;O770,"Above","Below"))</f>
        <v/>
      </c>
      <c r="Q770" s="16" t="n">
        <v>173695</v>
      </c>
      <c r="R770" s="17" t="n">
        <v>0</v>
      </c>
      <c r="S770" s="17" t="n">
        <v>0</v>
      </c>
      <c r="T770" s="17" t="n">
        <v>0</v>
      </c>
      <c r="U770" s="18" t="n">
        <v>0</v>
      </c>
    </row>
    <row r="771">
      <c r="A771" s="13" t="n">
        <v>45588</v>
      </c>
      <c r="B771" s="4">
        <f>TEXT(A771,"ddd")</f>
        <v/>
      </c>
      <c r="C771" s="14" t="n">
        <v>2762.6</v>
      </c>
      <c r="D771" s="14" t="n">
        <v>2772.6</v>
      </c>
      <c r="E771" s="14" t="n">
        <v>2722.1</v>
      </c>
      <c r="F771" s="14" t="n">
        <v>2729.4</v>
      </c>
      <c r="G771" s="9">
        <f>F771-F770</f>
        <v/>
      </c>
      <c r="H771" s="10">
        <f>IF(F770=0,0,G771/F770)</f>
        <v/>
      </c>
      <c r="I771" s="8">
        <f>D771-E771</f>
        <v/>
      </c>
      <c r="J771" s="4">
        <f>IF(F771&gt;C771,"Up",IF(F771&lt;C771,"Down","Flat"))</f>
        <v/>
      </c>
      <c r="K771" s="14" t="n">
        <v>32.71</v>
      </c>
      <c r="L771" s="15" t="n">
        <v>63.79</v>
      </c>
      <c r="M771" s="14" t="n">
        <v>2683.69</v>
      </c>
      <c r="N771" s="14" t="n">
        <v>2615.67</v>
      </c>
      <c r="O771" s="14" t="n">
        <v>2389.53</v>
      </c>
      <c r="P771" s="4">
        <f>IF(O771="","",IF(F771&gt;O771,"Above","Below"))</f>
        <v/>
      </c>
      <c r="Q771" s="16" t="n">
        <v>214515</v>
      </c>
      <c r="R771" s="17" t="n">
        <v>0</v>
      </c>
      <c r="S771" s="17" t="n">
        <v>0</v>
      </c>
      <c r="T771" s="17" t="n">
        <v>0</v>
      </c>
      <c r="U771" s="18" t="n">
        <v>0</v>
      </c>
    </row>
    <row r="772">
      <c r="A772" s="13" t="n">
        <v>45589</v>
      </c>
      <c r="B772" s="4">
        <f>TEXT(A772,"ddd")</f>
        <v/>
      </c>
      <c r="C772" s="14" t="n">
        <v>2729.2</v>
      </c>
      <c r="D772" s="14" t="n">
        <v>2756.3</v>
      </c>
      <c r="E772" s="14" t="n">
        <v>2728.7</v>
      </c>
      <c r="F772" s="14" t="n">
        <v>2748.9</v>
      </c>
      <c r="G772" s="9">
        <f>F772-F771</f>
        <v/>
      </c>
      <c r="H772" s="10">
        <f>IF(F771=0,0,G772/F771)</f>
        <v/>
      </c>
      <c r="I772" s="8">
        <f>D772-E772</f>
        <v/>
      </c>
      <c r="J772" s="4">
        <f>IF(F772&gt;C772,"Up",IF(F772&lt;C772,"Down","Flat"))</f>
        <v/>
      </c>
      <c r="K772" s="14" t="n">
        <v>32.34</v>
      </c>
      <c r="L772" s="15" t="n">
        <v>66.66</v>
      </c>
      <c r="M772" s="14" t="n">
        <v>2689.9</v>
      </c>
      <c r="N772" s="14" t="n">
        <v>2620.9</v>
      </c>
      <c r="O772" s="14" t="n">
        <v>2393.1</v>
      </c>
      <c r="P772" s="4">
        <f>IF(O772="","",IF(F772&gt;O772,"Above","Below"))</f>
        <v/>
      </c>
      <c r="Q772" s="16" t="n">
        <v>175872</v>
      </c>
      <c r="R772" s="17" t="n">
        <v>0</v>
      </c>
      <c r="S772" s="17" t="n">
        <v>0</v>
      </c>
      <c r="T772" s="17" t="n">
        <v>0</v>
      </c>
      <c r="U772" s="18" t="n">
        <v>0</v>
      </c>
    </row>
    <row r="773">
      <c r="A773" s="13" t="n">
        <v>45590</v>
      </c>
      <c r="B773" s="4">
        <f>TEXT(A773,"ddd")</f>
        <v/>
      </c>
      <c r="C773" s="14" t="n">
        <v>2748.6</v>
      </c>
      <c r="D773" s="14" t="n">
        <v>2760.9</v>
      </c>
      <c r="E773" s="14" t="n">
        <v>2729.1</v>
      </c>
      <c r="F773" s="14" t="n">
        <v>2754.6</v>
      </c>
      <c r="G773" s="9">
        <f>F773-F772</f>
        <v/>
      </c>
      <c r="H773" s="10">
        <f>IF(F772=0,0,G773/F772)</f>
        <v/>
      </c>
      <c r="I773" s="8">
        <f>D773-E773</f>
        <v/>
      </c>
      <c r="J773" s="4">
        <f>IF(F773&gt;C773,"Up",IF(F773&lt;C773,"Down","Flat"))</f>
        <v/>
      </c>
      <c r="K773" s="14" t="n">
        <v>32.3</v>
      </c>
      <c r="L773" s="15" t="n">
        <v>67.47</v>
      </c>
      <c r="M773" s="14" t="n">
        <v>2696.06</v>
      </c>
      <c r="N773" s="14" t="n">
        <v>2626.14</v>
      </c>
      <c r="O773" s="14" t="n">
        <v>2396.7</v>
      </c>
      <c r="P773" s="4">
        <f>IF(O773="","",IF(F773&gt;O773,"Above","Below"))</f>
        <v/>
      </c>
      <c r="Q773" s="16" t="n">
        <v>153487</v>
      </c>
      <c r="R773" s="17" t="n">
        <v>0</v>
      </c>
      <c r="S773" s="17" t="n">
        <v>0</v>
      </c>
      <c r="T773" s="17" t="n">
        <v>0</v>
      </c>
      <c r="U773" s="18" t="n">
        <v>0</v>
      </c>
    </row>
    <row r="774">
      <c r="A774" s="13" t="n">
        <v>45593</v>
      </c>
      <c r="B774" s="4">
        <f>TEXT(A774,"ddd")</f>
        <v/>
      </c>
      <c r="C774" s="14" t="n">
        <v>2749.2</v>
      </c>
      <c r="D774" s="14" t="n">
        <v>2758.3</v>
      </c>
      <c r="E774" s="14" t="n">
        <v>2736.9</v>
      </c>
      <c r="F774" s="14" t="n">
        <v>2755.9</v>
      </c>
      <c r="G774" s="9">
        <f>F774-F773</f>
        <v/>
      </c>
      <c r="H774" s="10">
        <f>IF(F773=0,0,G774/F773)</f>
        <v/>
      </c>
      <c r="I774" s="8">
        <f>D774-E774</f>
        <v/>
      </c>
      <c r="J774" s="4">
        <f>IF(F774&gt;C774,"Up",IF(F774&lt;C774,"Down","Flat"))</f>
        <v/>
      </c>
      <c r="K774" s="14" t="n">
        <v>31.52</v>
      </c>
      <c r="L774" s="15" t="n">
        <v>67.66</v>
      </c>
      <c r="M774" s="14" t="n">
        <v>2701.76</v>
      </c>
      <c r="N774" s="14" t="n">
        <v>2631.23</v>
      </c>
      <c r="O774" s="14" t="n">
        <v>2400.27</v>
      </c>
      <c r="P774" s="4">
        <f>IF(O774="","",IF(F774&gt;O774,"Above","Below"))</f>
        <v/>
      </c>
      <c r="Q774" s="16" t="n">
        <v>161907</v>
      </c>
      <c r="R774" s="17" t="n">
        <v>0</v>
      </c>
      <c r="S774" s="17" t="n">
        <v>0</v>
      </c>
      <c r="T774" s="17" t="n">
        <v>0</v>
      </c>
      <c r="U774" s="18" t="n">
        <v>0</v>
      </c>
    </row>
    <row r="775">
      <c r="A775" s="13" t="n">
        <v>45594</v>
      </c>
      <c r="B775" s="4">
        <f>TEXT(A775,"ddd")</f>
        <v/>
      </c>
      <c r="C775" s="14" t="n">
        <v>2754.3</v>
      </c>
      <c r="D775" s="14" t="n">
        <v>2787.7</v>
      </c>
      <c r="E775" s="14" t="n">
        <v>2752</v>
      </c>
      <c r="F775" s="14" t="n">
        <v>2781.1</v>
      </c>
      <c r="G775" s="9">
        <f>F775-F774</f>
        <v/>
      </c>
      <c r="H775" s="10">
        <f>IF(F774=0,0,G775/F774)</f>
        <v/>
      </c>
      <c r="I775" s="8">
        <f>D775-E775</f>
        <v/>
      </c>
      <c r="J775" s="4">
        <f>IF(F775&gt;C775,"Up",IF(F775&lt;C775,"Down","Flat"))</f>
        <v/>
      </c>
      <c r="K775" s="14" t="n">
        <v>31.82</v>
      </c>
      <c r="L775" s="15" t="n">
        <v>71.23</v>
      </c>
      <c r="M775" s="14" t="n">
        <v>2709.32</v>
      </c>
      <c r="N775" s="14" t="n">
        <v>2637.11</v>
      </c>
      <c r="O775" s="14" t="n">
        <v>2404.06</v>
      </c>
      <c r="P775" s="4">
        <f>IF(O775="","",IF(F775&gt;O775,"Above","Below"))</f>
        <v/>
      </c>
      <c r="Q775" s="16" t="n">
        <v>207424</v>
      </c>
      <c r="R775" s="17" t="n">
        <v>0</v>
      </c>
      <c r="S775" s="17" t="n">
        <v>0</v>
      </c>
      <c r="T775" s="17" t="n">
        <v>0</v>
      </c>
      <c r="U775" s="18" t="n">
        <v>0</v>
      </c>
    </row>
    <row r="776">
      <c r="A776" s="13" t="n">
        <v>45595</v>
      </c>
      <c r="B776" s="4">
        <f>TEXT(A776,"ddd")</f>
        <v/>
      </c>
      <c r="C776" s="14" t="n">
        <v>2786.9</v>
      </c>
      <c r="D776" s="14" t="n">
        <v>2801.8</v>
      </c>
      <c r="E776" s="14" t="n">
        <v>2782.4</v>
      </c>
      <c r="F776" s="14" t="n">
        <v>2800.8</v>
      </c>
      <c r="G776" s="9">
        <f>F776-F775</f>
        <v/>
      </c>
      <c r="H776" s="10">
        <f>IF(F775=0,0,G776/F775)</f>
        <v/>
      </c>
      <c r="I776" s="8">
        <f>D776-E776</f>
        <v/>
      </c>
      <c r="J776" s="4">
        <f>IF(F776&gt;C776,"Up",IF(F776&lt;C776,"Down","Flat"))</f>
        <v/>
      </c>
      <c r="K776" s="14" t="n">
        <v>31.03</v>
      </c>
      <c r="L776" s="15" t="n">
        <v>73.67</v>
      </c>
      <c r="M776" s="14" t="n">
        <v>2718.03</v>
      </c>
      <c r="N776" s="14" t="n">
        <v>2643.53</v>
      </c>
      <c r="O776" s="14" t="n">
        <v>2408.01</v>
      </c>
      <c r="P776" s="4">
        <f>IF(O776="","",IF(F776&gt;O776,"Above","Below"))</f>
        <v/>
      </c>
      <c r="Q776" s="16" t="n">
        <v>191549</v>
      </c>
      <c r="R776" s="17" t="n">
        <v>0</v>
      </c>
      <c r="S776" s="17" t="n">
        <v>0</v>
      </c>
      <c r="T776" s="17" t="n">
        <v>0</v>
      </c>
      <c r="U776" s="18" t="n">
        <v>0</v>
      </c>
    </row>
    <row r="777">
      <c r="A777" s="13" t="n">
        <v>45596</v>
      </c>
      <c r="B777" s="4">
        <f>TEXT(A777,"ddd")</f>
        <v/>
      </c>
      <c r="C777" s="14" t="n">
        <v>2799.1</v>
      </c>
      <c r="D777" s="14" t="n">
        <v>2801.2</v>
      </c>
      <c r="E777" s="14" t="n">
        <v>2741.8</v>
      </c>
      <c r="F777" s="14" t="n">
        <v>2749.3</v>
      </c>
      <c r="G777" s="9">
        <f>F777-F776</f>
        <v/>
      </c>
      <c r="H777" s="10">
        <f>IF(F776=0,0,G777/F776)</f>
        <v/>
      </c>
      <c r="I777" s="8">
        <f>D777-E777</f>
        <v/>
      </c>
      <c r="J777" s="4">
        <f>IF(F777&gt;C777,"Up",IF(F777&lt;C777,"Down","Flat"))</f>
        <v/>
      </c>
      <c r="K777" s="14" t="n">
        <v>33.05</v>
      </c>
      <c r="L777" s="15" t="n">
        <v>59.45</v>
      </c>
      <c r="M777" s="14" t="n">
        <v>2721.01</v>
      </c>
      <c r="N777" s="14" t="n">
        <v>2647.67</v>
      </c>
      <c r="O777" s="14" t="n">
        <v>2411.41</v>
      </c>
      <c r="P777" s="4">
        <f>IF(O777="","",IF(F777&gt;O777,"Above","Below"))</f>
        <v/>
      </c>
      <c r="Q777" s="16" t="n">
        <v>242571</v>
      </c>
      <c r="R777" s="17" t="n">
        <v>0</v>
      </c>
      <c r="S777" s="17" t="n">
        <v>0</v>
      </c>
      <c r="T777" s="17" t="n">
        <v>0</v>
      </c>
      <c r="U777" s="18" t="n">
        <v>0</v>
      </c>
    </row>
    <row r="778">
      <c r="A778" s="13" t="n">
        <v>45597</v>
      </c>
      <c r="B778" s="4">
        <f>TEXT(A778,"ddd")</f>
        <v/>
      </c>
      <c r="C778" s="14" t="n">
        <v>2754</v>
      </c>
      <c r="D778" s="14" t="n">
        <v>2772.4</v>
      </c>
      <c r="E778" s="14" t="n">
        <v>2742.6</v>
      </c>
      <c r="F778" s="14" t="n">
        <v>2749.2</v>
      </c>
      <c r="G778" s="9">
        <f>F778-F777</f>
        <v/>
      </c>
      <c r="H778" s="10">
        <f>IF(F777=0,0,G778/F777)</f>
        <v/>
      </c>
      <c r="I778" s="8">
        <f>D778-E778</f>
        <v/>
      </c>
      <c r="J778" s="4">
        <f>IF(F778&gt;C778,"Up",IF(F778&lt;C778,"Down","Flat"))</f>
        <v/>
      </c>
      <c r="K778" s="14" t="n">
        <v>32.82</v>
      </c>
      <c r="L778" s="15" t="n">
        <v>59.43</v>
      </c>
      <c r="M778" s="14" t="n">
        <v>2723.69</v>
      </c>
      <c r="N778" s="14" t="n">
        <v>2651.66</v>
      </c>
      <c r="O778" s="14" t="n">
        <v>2414.77</v>
      </c>
      <c r="P778" s="4">
        <f>IF(O778="","",IF(F778&gt;O778,"Above","Below"))</f>
        <v/>
      </c>
      <c r="Q778" s="16" t="n">
        <v>180660</v>
      </c>
      <c r="R778" s="17" t="n">
        <v>0</v>
      </c>
      <c r="S778" s="17" t="n">
        <v>0</v>
      </c>
      <c r="T778" s="17" t="n">
        <v>0</v>
      </c>
      <c r="U778" s="18" t="n">
        <v>0</v>
      </c>
    </row>
    <row r="779">
      <c r="A779" s="13" t="n">
        <v>45600</v>
      </c>
      <c r="B779" s="4">
        <f>TEXT(A779,"ddd")</f>
        <v/>
      </c>
      <c r="C779" s="14" t="n">
        <v>2743.5</v>
      </c>
      <c r="D779" s="14" t="n">
        <v>2757.5</v>
      </c>
      <c r="E779" s="14" t="n">
        <v>2739.4</v>
      </c>
      <c r="F779" s="14" t="n">
        <v>2746.2</v>
      </c>
      <c r="G779" s="9">
        <f>F779-F778</f>
        <v/>
      </c>
      <c r="H779" s="10">
        <f>IF(F778=0,0,G779/F778)</f>
        <v/>
      </c>
      <c r="I779" s="8">
        <f>D779-E779</f>
        <v/>
      </c>
      <c r="J779" s="4">
        <f>IF(F779&gt;C779,"Up",IF(F779&lt;C779,"Down","Flat"))</f>
        <v/>
      </c>
      <c r="K779" s="14" t="n">
        <v>31.77</v>
      </c>
      <c r="L779" s="15" t="n">
        <v>58.66</v>
      </c>
      <c r="M779" s="14" t="n">
        <v>2725.84</v>
      </c>
      <c r="N779" s="14" t="n">
        <v>2655.36</v>
      </c>
      <c r="O779" s="14" t="n">
        <v>2418.07</v>
      </c>
      <c r="P779" s="4">
        <f>IF(O779="","",IF(F779&gt;O779,"Above","Below"))</f>
        <v/>
      </c>
      <c r="Q779" s="16" t="n">
        <v>145248</v>
      </c>
      <c r="R779" s="17" t="n">
        <v>0</v>
      </c>
      <c r="S779" s="17" t="n">
        <v>0</v>
      </c>
      <c r="T779" s="17" t="n">
        <v>0</v>
      </c>
      <c r="U779" s="18" t="n">
        <v>0</v>
      </c>
    </row>
    <row r="780">
      <c r="A780" s="13" t="n">
        <v>45601</v>
      </c>
      <c r="B780" s="4">
        <f>TEXT(A780,"ddd")</f>
        <v/>
      </c>
      <c r="C780" s="14" t="n">
        <v>2746</v>
      </c>
      <c r="D780" s="14" t="n">
        <v>2759.5</v>
      </c>
      <c r="E780" s="14" t="n">
        <v>2733.4</v>
      </c>
      <c r="F780" s="14" t="n">
        <v>2749.7</v>
      </c>
      <c r="G780" s="9">
        <f>F780-F779</f>
        <v/>
      </c>
      <c r="H780" s="10">
        <f>IF(F779=0,0,G780/F779)</f>
        <v/>
      </c>
      <c r="I780" s="8">
        <f>D780-E780</f>
        <v/>
      </c>
      <c r="J780" s="4">
        <f>IF(F780&gt;C780,"Up",IF(F780&lt;C780,"Down","Flat"))</f>
        <v/>
      </c>
      <c r="K780" s="14" t="n">
        <v>31.37</v>
      </c>
      <c r="L780" s="15" t="n">
        <v>59.32</v>
      </c>
      <c r="M780" s="14" t="n">
        <v>2728.11</v>
      </c>
      <c r="N780" s="14" t="n">
        <v>2659.06</v>
      </c>
      <c r="O780" s="14" t="n">
        <v>2421.37</v>
      </c>
      <c r="P780" s="4">
        <f>IF(O780="","",IF(F780&gt;O780,"Above","Below"))</f>
        <v/>
      </c>
      <c r="Q780" s="16" t="n">
        <v>151434</v>
      </c>
      <c r="R780" s="17" t="n">
        <v>0</v>
      </c>
      <c r="S780" s="17" t="n">
        <v>0</v>
      </c>
      <c r="T780" s="17" t="n">
        <v>0</v>
      </c>
      <c r="U780" s="18" t="n">
        <v>0</v>
      </c>
    </row>
    <row r="781">
      <c r="A781" s="13" t="n">
        <v>45602</v>
      </c>
      <c r="B781" s="4">
        <f>TEXT(A781,"ddd")</f>
        <v/>
      </c>
      <c r="C781" s="14" t="n">
        <v>2752.6</v>
      </c>
      <c r="D781" s="14" t="n">
        <v>2758.8</v>
      </c>
      <c r="E781" s="14" t="n">
        <v>2660.7</v>
      </c>
      <c r="F781" s="14" t="n">
        <v>2676.3</v>
      </c>
      <c r="G781" s="9">
        <f>F781-F780</f>
        <v/>
      </c>
      <c r="H781" s="10">
        <f>IF(F780=0,0,G781/F780)</f>
        <v/>
      </c>
      <c r="I781" s="8">
        <f>D781-E781</f>
        <v/>
      </c>
      <c r="J781" s="4">
        <f>IF(F781&gt;C781,"Up",IF(F781&lt;C781,"Down","Flat"))</f>
        <v/>
      </c>
      <c r="K781" s="14" t="n">
        <v>36.13</v>
      </c>
      <c r="L781" s="15" t="n">
        <v>43.64</v>
      </c>
      <c r="M781" s="14" t="n">
        <v>2723.17</v>
      </c>
      <c r="N781" s="14" t="n">
        <v>2659.74</v>
      </c>
      <c r="O781" s="14" t="n">
        <v>2423.9</v>
      </c>
      <c r="P781" s="4">
        <f>IF(O781="","",IF(F781&gt;O781,"Above","Below"))</f>
        <v/>
      </c>
      <c r="Q781" s="16" t="n">
        <v>361313</v>
      </c>
      <c r="R781" s="17" t="n">
        <v>0</v>
      </c>
      <c r="S781" s="17" t="n">
        <v>0</v>
      </c>
      <c r="T781" s="17" t="n">
        <v>0</v>
      </c>
      <c r="U781" s="18" t="n">
        <v>0</v>
      </c>
    </row>
    <row r="782">
      <c r="A782" s="13" t="n">
        <v>45603</v>
      </c>
      <c r="B782" s="4">
        <f>TEXT(A782,"ddd")</f>
        <v/>
      </c>
      <c r="C782" s="14" t="n">
        <v>2667.7</v>
      </c>
      <c r="D782" s="14" t="n">
        <v>2718.3</v>
      </c>
      <c r="E782" s="14" t="n">
        <v>2650.3</v>
      </c>
      <c r="F782" s="14" t="n">
        <v>2705.8</v>
      </c>
      <c r="G782" s="9">
        <f>F782-F781</f>
        <v/>
      </c>
      <c r="H782" s="10">
        <f>IF(F781=0,0,G782/F781)</f>
        <v/>
      </c>
      <c r="I782" s="8">
        <f>D782-E782</f>
        <v/>
      </c>
      <c r="J782" s="4">
        <f>IF(F782&gt;C782,"Up",IF(F782&lt;C782,"Down","Flat"))</f>
        <v/>
      </c>
      <c r="K782" s="14" t="n">
        <v>38.41</v>
      </c>
      <c r="L782" s="15" t="n">
        <v>49.43</v>
      </c>
      <c r="M782" s="14" t="n">
        <v>2721.52</v>
      </c>
      <c r="N782" s="14" t="n">
        <v>2661.55</v>
      </c>
      <c r="O782" s="14" t="n">
        <v>2426.71</v>
      </c>
      <c r="P782" s="4">
        <f>IF(O782="","",IF(F782&gt;O782,"Above","Below"))</f>
        <v/>
      </c>
      <c r="Q782" s="16" t="n">
        <v>292924</v>
      </c>
      <c r="R782" s="17" t="n">
        <v>0</v>
      </c>
      <c r="S782" s="17" t="n">
        <v>0</v>
      </c>
      <c r="T782" s="17" t="n">
        <v>0</v>
      </c>
      <c r="U782" s="18" t="n">
        <v>0</v>
      </c>
    </row>
    <row r="783">
      <c r="A783" s="13" t="n">
        <v>45604</v>
      </c>
      <c r="B783" s="4">
        <f>TEXT(A783,"ddd")</f>
        <v/>
      </c>
      <c r="C783" s="14" t="n">
        <v>2713.6</v>
      </c>
      <c r="D783" s="14" t="n">
        <v>2717.8</v>
      </c>
      <c r="E783" s="14" t="n">
        <v>2687.3</v>
      </c>
      <c r="F783" s="14" t="n">
        <v>2694.8</v>
      </c>
      <c r="G783" s="9">
        <f>F783-F782</f>
        <v/>
      </c>
      <c r="H783" s="10">
        <f>IF(F782=0,0,G783/F782)</f>
        <v/>
      </c>
      <c r="I783" s="8">
        <f>D783-E783</f>
        <v/>
      </c>
      <c r="J783" s="4">
        <f>IF(F783&gt;C783,"Up",IF(F783&lt;C783,"Down","Flat"))</f>
        <v/>
      </c>
      <c r="K783" s="14" t="n">
        <v>37.84</v>
      </c>
      <c r="L783" s="15" t="n">
        <v>47.47</v>
      </c>
      <c r="M783" s="14" t="n">
        <v>2718.98</v>
      </c>
      <c r="N783" s="14" t="n">
        <v>2662.85</v>
      </c>
      <c r="O783" s="14" t="n">
        <v>2429.37</v>
      </c>
      <c r="P783" s="4">
        <f>IF(O783="","",IF(F783&gt;O783,"Above","Below"))</f>
        <v/>
      </c>
      <c r="Q783" s="16" t="n">
        <v>233110</v>
      </c>
      <c r="R783" s="17" t="n">
        <v>0</v>
      </c>
      <c r="S783" s="17" t="n">
        <v>0</v>
      </c>
      <c r="T783" s="17" t="n">
        <v>0</v>
      </c>
      <c r="U783" s="18" t="n">
        <v>0</v>
      </c>
    </row>
    <row r="784">
      <c r="A784" s="13" t="n">
        <v>45607</v>
      </c>
      <c r="B784" s="4">
        <f>TEXT(A784,"ddd")</f>
        <v/>
      </c>
      <c r="C784" s="14" t="n">
        <v>2692.1</v>
      </c>
      <c r="D784" s="14" t="n">
        <v>2693.4</v>
      </c>
      <c r="E784" s="14" t="n">
        <v>2617.1</v>
      </c>
      <c r="F784" s="14" t="n">
        <v>2617.7</v>
      </c>
      <c r="G784" s="9">
        <f>F784-F783</f>
        <v/>
      </c>
      <c r="H784" s="10">
        <f>IF(F783=0,0,G784/F783)</f>
        <v/>
      </c>
      <c r="I784" s="8">
        <f>D784-E784</f>
        <v/>
      </c>
      <c r="J784" s="4">
        <f>IF(F784&gt;C784,"Up",IF(F784&lt;C784,"Down","Flat"))</f>
        <v/>
      </c>
      <c r="K784" s="14" t="n">
        <v>40.69</v>
      </c>
      <c r="L784" s="15" t="n">
        <v>36.55</v>
      </c>
      <c r="M784" s="14" t="n">
        <v>2709.33</v>
      </c>
      <c r="N784" s="14" t="n">
        <v>2661.08</v>
      </c>
      <c r="O784" s="14" t="n">
        <v>2431.25</v>
      </c>
      <c r="P784" s="4">
        <f>IF(O784="","",IF(F784&gt;O784,"Above","Below"))</f>
        <v/>
      </c>
      <c r="Q784" s="16" t="n">
        <v>281919</v>
      </c>
      <c r="R784" s="17" t="n">
        <v>0</v>
      </c>
      <c r="S784" s="17" t="n">
        <v>0</v>
      </c>
      <c r="T784" s="17" t="n">
        <v>0</v>
      </c>
      <c r="U784" s="18" t="n">
        <v>0</v>
      </c>
    </row>
    <row r="785">
      <c r="A785" s="13" t="n">
        <v>45608</v>
      </c>
      <c r="B785" s="4">
        <f>TEXT(A785,"ddd")</f>
        <v/>
      </c>
      <c r="C785" s="14" t="n">
        <v>2625.7</v>
      </c>
      <c r="D785" s="14" t="n">
        <v>2633.4</v>
      </c>
      <c r="E785" s="14" t="n">
        <v>2595.7</v>
      </c>
      <c r="F785" s="14" t="n">
        <v>2606.3</v>
      </c>
      <c r="G785" s="9">
        <f>F785-F784</f>
        <v/>
      </c>
      <c r="H785" s="10">
        <f>IF(F784=0,0,G785/F784)</f>
        <v/>
      </c>
      <c r="I785" s="8">
        <f>D785-E785</f>
        <v/>
      </c>
      <c r="J785" s="4">
        <f>IF(F785&gt;C785,"Up",IF(F785&lt;C785,"Down","Flat"))</f>
        <v/>
      </c>
      <c r="K785" s="14" t="n">
        <v>40.48</v>
      </c>
      <c r="L785" s="15" t="n">
        <v>35.26</v>
      </c>
      <c r="M785" s="14" t="n">
        <v>2699.52</v>
      </c>
      <c r="N785" s="14" t="n">
        <v>2658.93</v>
      </c>
      <c r="O785" s="14" t="n">
        <v>2432.99</v>
      </c>
      <c r="P785" s="4">
        <f>IF(O785="","",IF(F785&gt;O785,"Above","Below"))</f>
        <v/>
      </c>
      <c r="Q785" s="16" t="n">
        <v>282766</v>
      </c>
      <c r="R785" s="17" t="n">
        <v>0</v>
      </c>
      <c r="S785" s="17" t="n">
        <v>0</v>
      </c>
      <c r="T785" s="17" t="n">
        <v>0</v>
      </c>
      <c r="U785" s="18" t="n">
        <v>0</v>
      </c>
    </row>
    <row r="786">
      <c r="A786" s="13" t="n">
        <v>45609</v>
      </c>
      <c r="B786" s="4">
        <f>TEXT(A786,"ddd")</f>
        <v/>
      </c>
      <c r="C786" s="14" t="n">
        <v>2604.7</v>
      </c>
      <c r="D786" s="14" t="n">
        <v>2625</v>
      </c>
      <c r="E786" s="14" t="n">
        <v>2578.1</v>
      </c>
      <c r="F786" s="14" t="n">
        <v>2586.5</v>
      </c>
      <c r="G786" s="9">
        <f>F786-F785</f>
        <v/>
      </c>
      <c r="H786" s="10">
        <f>IF(F785=0,0,G786/F785)</f>
        <v/>
      </c>
      <c r="I786" s="8">
        <f>D786-E786</f>
        <v/>
      </c>
      <c r="J786" s="4">
        <f>IF(F786&gt;C786,"Up",IF(F786&lt;C786,"Down","Flat"))</f>
        <v/>
      </c>
      <c r="K786" s="14" t="n">
        <v>40.94</v>
      </c>
      <c r="L786" s="15" t="n">
        <v>33.07</v>
      </c>
      <c r="M786" s="14" t="n">
        <v>2688.75</v>
      </c>
      <c r="N786" s="14" t="n">
        <v>2656.09</v>
      </c>
      <c r="O786" s="14" t="n">
        <v>2434.52</v>
      </c>
      <c r="P786" s="4">
        <f>IF(O786="","",IF(F786&gt;O786,"Above","Below"))</f>
        <v/>
      </c>
      <c r="Q786" s="16" t="n">
        <v>262752</v>
      </c>
      <c r="R786" s="17" t="n">
        <v>0</v>
      </c>
      <c r="S786" s="17" t="n">
        <v>0</v>
      </c>
      <c r="T786" s="17" t="n">
        <v>0</v>
      </c>
      <c r="U786" s="18" t="n">
        <v>0</v>
      </c>
    </row>
    <row r="787">
      <c r="A787" s="13" t="n">
        <v>45610</v>
      </c>
      <c r="B787" s="4">
        <f>TEXT(A787,"ddd")</f>
        <v/>
      </c>
      <c r="C787" s="14" t="n">
        <v>2578.1</v>
      </c>
      <c r="D787" s="14" t="n">
        <v>2585.8</v>
      </c>
      <c r="E787" s="14" t="n">
        <v>2541.5</v>
      </c>
      <c r="F787" s="14" t="n">
        <v>2572.9</v>
      </c>
      <c r="G787" s="9">
        <f>F787-F786</f>
        <v/>
      </c>
      <c r="H787" s="10">
        <f>IF(F786=0,0,G787/F786)</f>
        <v/>
      </c>
      <c r="I787" s="8">
        <f>D787-E787</f>
        <v/>
      </c>
      <c r="J787" s="4">
        <f>IF(F787&gt;C787,"Up",IF(F787&lt;C787,"Down","Flat"))</f>
        <v/>
      </c>
      <c r="K787" s="14" t="n">
        <v>41.23</v>
      </c>
      <c r="L787" s="15" t="n">
        <v>31.62</v>
      </c>
      <c r="M787" s="14" t="n">
        <v>2677.72</v>
      </c>
      <c r="N787" s="14" t="n">
        <v>2652.83</v>
      </c>
      <c r="O787" s="14" t="n">
        <v>2435.89</v>
      </c>
      <c r="P787" s="4">
        <f>IF(O787="","",IF(F787&gt;O787,"Above","Below"))</f>
        <v/>
      </c>
      <c r="Q787" s="16" t="n">
        <v>266162</v>
      </c>
      <c r="R787" s="17" t="n">
        <v>0</v>
      </c>
      <c r="S787" s="17" t="n">
        <v>0</v>
      </c>
      <c r="T787" s="17" t="n">
        <v>0</v>
      </c>
      <c r="U787" s="18" t="n">
        <v>0</v>
      </c>
    </row>
    <row r="788">
      <c r="A788" s="13" t="n">
        <v>45611</v>
      </c>
      <c r="B788" s="4">
        <f>TEXT(A788,"ddd")</f>
        <v/>
      </c>
      <c r="C788" s="14" t="n">
        <v>2570.4</v>
      </c>
      <c r="D788" s="14" t="n">
        <v>2580.8</v>
      </c>
      <c r="E788" s="14" t="n">
        <v>2558.9</v>
      </c>
      <c r="F788" s="14" t="n">
        <v>2570.1</v>
      </c>
      <c r="G788" s="9">
        <f>F788-F787</f>
        <v/>
      </c>
      <c r="H788" s="10">
        <f>IF(F787=0,0,G788/F787)</f>
        <v/>
      </c>
      <c r="I788" s="8">
        <f>D788-E788</f>
        <v/>
      </c>
      <c r="J788" s="4">
        <f>IF(F788&gt;C788,"Up",IF(F788&lt;C788,"Down","Flat"))</f>
        <v/>
      </c>
      <c r="K788" s="14" t="n">
        <v>39.85</v>
      </c>
      <c r="L788" s="15" t="n">
        <v>31.31</v>
      </c>
      <c r="M788" s="14" t="n">
        <v>2667.47</v>
      </c>
      <c r="N788" s="14" t="n">
        <v>2649.58</v>
      </c>
      <c r="O788" s="14" t="n">
        <v>2437.23</v>
      </c>
      <c r="P788" s="4">
        <f>IF(O788="","",IF(F788&gt;O788,"Above","Below"))</f>
        <v/>
      </c>
      <c r="Q788" s="16" t="n">
        <v>179892</v>
      </c>
      <c r="R788" s="17" t="n">
        <v>0</v>
      </c>
      <c r="S788" s="17" t="n">
        <v>0</v>
      </c>
      <c r="T788" s="17" t="n">
        <v>0</v>
      </c>
      <c r="U788" s="18" t="n">
        <v>0</v>
      </c>
    </row>
    <row r="789">
      <c r="A789" s="13" t="n">
        <v>45614</v>
      </c>
      <c r="B789" s="4">
        <f>TEXT(A789,"ddd")</f>
        <v/>
      </c>
      <c r="C789" s="14" t="n">
        <v>2571.5</v>
      </c>
      <c r="D789" s="14" t="n">
        <v>2619.5</v>
      </c>
      <c r="E789" s="14" t="n">
        <v>2568.5</v>
      </c>
      <c r="F789" s="14" t="n">
        <v>2614.6</v>
      </c>
      <c r="G789" s="9">
        <f>F789-F788</f>
        <v/>
      </c>
      <c r="H789" s="10">
        <f>IF(F788=0,0,G789/F788)</f>
        <v/>
      </c>
      <c r="I789" s="8">
        <f>D789-E789</f>
        <v/>
      </c>
      <c r="J789" s="4">
        <f>IF(F789&gt;C789,"Up",IF(F789&lt;C789,"Down","Flat"))</f>
        <v/>
      </c>
      <c r="K789" s="14" t="n">
        <v>40.64</v>
      </c>
      <c r="L789" s="15" t="n">
        <v>41.03</v>
      </c>
      <c r="M789" s="14" t="n">
        <v>2662.44</v>
      </c>
      <c r="N789" s="14" t="n">
        <v>2648.21</v>
      </c>
      <c r="O789" s="14" t="n">
        <v>2438.99</v>
      </c>
      <c r="P789" s="4">
        <f>IF(O789="","",IF(F789&gt;O789,"Above","Below"))</f>
        <v/>
      </c>
      <c r="Q789" s="16" t="n">
        <v>195294</v>
      </c>
      <c r="R789" s="17" t="n">
        <v>0</v>
      </c>
      <c r="S789" s="17" t="n">
        <v>0</v>
      </c>
      <c r="T789" s="17" t="n">
        <v>0</v>
      </c>
      <c r="U789" s="18" t="n">
        <v>0</v>
      </c>
    </row>
    <row r="790">
      <c r="A790" s="13" t="n">
        <v>45615</v>
      </c>
      <c r="B790" s="4">
        <f>TEXT(A790,"ddd")</f>
        <v/>
      </c>
      <c r="C790" s="14" t="n">
        <v>2616.3</v>
      </c>
      <c r="D790" s="14" t="n">
        <v>2643.4</v>
      </c>
      <c r="E790" s="14" t="n">
        <v>2614.2</v>
      </c>
      <c r="F790" s="14" t="n">
        <v>2631</v>
      </c>
      <c r="G790" s="9">
        <f>F790-F789</f>
        <v/>
      </c>
      <c r="H790" s="10">
        <f>IF(F789=0,0,G790/F789)</f>
        <v/>
      </c>
      <c r="I790" s="8">
        <f>D790-E790</f>
        <v/>
      </c>
      <c r="J790" s="4">
        <f>IF(F790&gt;C790,"Up",IF(F790&lt;C790,"Down","Flat"))</f>
        <v/>
      </c>
      <c r="K790" s="14" t="n">
        <v>39.83</v>
      </c>
      <c r="L790" s="15" t="n">
        <v>44.17</v>
      </c>
      <c r="M790" s="14" t="n">
        <v>2659.44</v>
      </c>
      <c r="N790" s="14" t="n">
        <v>2647.54</v>
      </c>
      <c r="O790" s="14" t="n">
        <v>2440.91</v>
      </c>
      <c r="P790" s="4">
        <f>IF(O790="","",IF(F790&gt;O790,"Above","Below"))</f>
        <v/>
      </c>
      <c r="Q790" s="16" t="n">
        <v>202241</v>
      </c>
      <c r="R790" s="17" t="n">
        <v>0</v>
      </c>
      <c r="S790" s="17" t="n">
        <v>0</v>
      </c>
      <c r="T790" s="17" t="n">
        <v>0</v>
      </c>
      <c r="U790" s="18" t="n">
        <v>0</v>
      </c>
    </row>
    <row r="791">
      <c r="A791" s="13" t="n">
        <v>45616</v>
      </c>
      <c r="B791" s="4">
        <f>TEXT(A791,"ddd")</f>
        <v/>
      </c>
      <c r="C791" s="14" t="n">
        <v>2635.8</v>
      </c>
      <c r="D791" s="14" t="n">
        <v>2659</v>
      </c>
      <c r="E791" s="14" t="n">
        <v>2621.9</v>
      </c>
      <c r="F791" s="14" t="n">
        <v>2651.7</v>
      </c>
      <c r="G791" s="9">
        <f>F791-F790</f>
        <v/>
      </c>
      <c r="H791" s="10">
        <f>IF(F790=0,0,G791/F790)</f>
        <v/>
      </c>
      <c r="I791" s="8">
        <f>D791-E791</f>
        <v/>
      </c>
      <c r="J791" s="4">
        <f>IF(F791&gt;C791,"Up",IF(F791&lt;C791,"Down","Flat"))</f>
        <v/>
      </c>
      <c r="K791" s="14" t="n">
        <v>39.63</v>
      </c>
      <c r="L791" s="15" t="n">
        <v>47.93</v>
      </c>
      <c r="M791" s="14" t="n">
        <v>2658.7</v>
      </c>
      <c r="N791" s="14" t="n">
        <v>2647.7</v>
      </c>
      <c r="O791" s="14" t="n">
        <v>2443</v>
      </c>
      <c r="P791" s="4">
        <f>IF(O791="","",IF(F791&gt;O791,"Above","Below"))</f>
        <v/>
      </c>
      <c r="Q791" s="16" t="n">
        <v>182012</v>
      </c>
      <c r="R791" s="17" t="n">
        <v>0</v>
      </c>
      <c r="S791" s="17" t="n">
        <v>0</v>
      </c>
      <c r="T791" s="17" t="n">
        <v>0</v>
      </c>
      <c r="U791" s="18" t="n">
        <v>0</v>
      </c>
    </row>
    <row r="792">
      <c r="A792" s="13" t="n">
        <v>45617</v>
      </c>
      <c r="B792" s="4">
        <f>TEXT(A792,"ddd")</f>
        <v/>
      </c>
      <c r="C792" s="14" t="n">
        <v>2653.5</v>
      </c>
      <c r="D792" s="14" t="n">
        <v>2676.5</v>
      </c>
      <c r="E792" s="14" t="n">
        <v>2651.6</v>
      </c>
      <c r="F792" s="14" t="n">
        <v>2674.9</v>
      </c>
      <c r="G792" s="9">
        <f>F792-F791</f>
        <v/>
      </c>
      <c r="H792" s="10">
        <f>IF(F791=0,0,G792/F791)</f>
        <v/>
      </c>
      <c r="I792" s="8">
        <f>D792-E792</f>
        <v/>
      </c>
      <c r="J792" s="4">
        <f>IF(F792&gt;C792,"Up",IF(F792&lt;C792,"Down","Flat"))</f>
        <v/>
      </c>
      <c r="K792" s="14" t="n">
        <v>38.58</v>
      </c>
      <c r="L792" s="15" t="n">
        <v>51.85</v>
      </c>
      <c r="M792" s="14" t="n">
        <v>2660.25</v>
      </c>
      <c r="N792" s="14" t="n">
        <v>2648.77</v>
      </c>
      <c r="O792" s="14" t="n">
        <v>2445.31</v>
      </c>
      <c r="P792" s="4">
        <f>IF(O792="","",IF(F792&gt;O792,"Above","Below"))</f>
        <v/>
      </c>
      <c r="Q792" s="16" t="n">
        <v>186297</v>
      </c>
      <c r="R792" s="17" t="n">
        <v>0</v>
      </c>
      <c r="S792" s="17" t="n">
        <v>0</v>
      </c>
      <c r="T792" s="17" t="n">
        <v>0</v>
      </c>
      <c r="U792" s="18" t="n">
        <v>0</v>
      </c>
    </row>
    <row r="793">
      <c r="A793" s="13" t="n">
        <v>45618</v>
      </c>
      <c r="B793" s="4">
        <f>TEXT(A793,"ddd")</f>
        <v/>
      </c>
      <c r="C793" s="14" t="n">
        <v>2672</v>
      </c>
      <c r="D793" s="14" t="n">
        <v>2718.5</v>
      </c>
      <c r="E793" s="14" t="n">
        <v>2670.1</v>
      </c>
      <c r="F793" s="14" t="n">
        <v>2712.2</v>
      </c>
      <c r="G793" s="9">
        <f>F793-F792</f>
        <v/>
      </c>
      <c r="H793" s="10">
        <f>IF(F792=0,0,G793/F792)</f>
        <v/>
      </c>
      <c r="I793" s="8">
        <f>D793-E793</f>
        <v/>
      </c>
      <c r="J793" s="4">
        <f>IF(F793&gt;C793,"Up",IF(F793&lt;C793,"Down","Flat"))</f>
        <v/>
      </c>
      <c r="K793" s="14" t="n">
        <v>39.28</v>
      </c>
      <c r="L793" s="15" t="n">
        <v>57.4</v>
      </c>
      <c r="M793" s="14" t="n">
        <v>2665.19</v>
      </c>
      <c r="N793" s="14" t="n">
        <v>2651.25</v>
      </c>
      <c r="O793" s="14" t="n">
        <v>2447.97</v>
      </c>
      <c r="P793" s="4">
        <f>IF(O793="","",IF(F793&gt;O793,"Above","Below"))</f>
        <v/>
      </c>
      <c r="Q793" s="16" t="n">
        <v>220554</v>
      </c>
      <c r="R793" s="17" t="n">
        <v>0</v>
      </c>
      <c r="S793" s="17" t="n">
        <v>0</v>
      </c>
      <c r="T793" s="17" t="n">
        <v>0</v>
      </c>
      <c r="U793" s="18" t="n">
        <v>0</v>
      </c>
    </row>
    <row r="794">
      <c r="A794" s="13" t="n">
        <v>45621</v>
      </c>
      <c r="B794" s="4">
        <f>TEXT(A794,"ddd")</f>
        <v/>
      </c>
      <c r="C794" s="14" t="n">
        <v>2716.9</v>
      </c>
      <c r="D794" s="14" t="n">
        <v>2723.2</v>
      </c>
      <c r="E794" s="14" t="n">
        <v>2616.6</v>
      </c>
      <c r="F794" s="14" t="n">
        <v>2618.5</v>
      </c>
      <c r="G794" s="9">
        <f>F794-F793</f>
        <v/>
      </c>
      <c r="H794" s="10">
        <f>IF(F793=0,0,G794/F793)</f>
        <v/>
      </c>
      <c r="I794" s="8">
        <f>D794-E794</f>
        <v/>
      </c>
      <c r="J794" s="4">
        <f>IF(F794&gt;C794,"Up",IF(F794&lt;C794,"Down","Flat"))</f>
        <v/>
      </c>
      <c r="K794" s="14" t="n">
        <v>44.09</v>
      </c>
      <c r="L794" s="15" t="n">
        <v>43.76</v>
      </c>
      <c r="M794" s="14" t="n">
        <v>2660.75</v>
      </c>
      <c r="N794" s="14" t="n">
        <v>2649.97</v>
      </c>
      <c r="O794" s="14" t="n">
        <v>2449.66</v>
      </c>
      <c r="P794" s="4">
        <f>IF(O794="","",IF(F794&gt;O794,"Above","Below"))</f>
        <v/>
      </c>
      <c r="Q794" s="16" t="n">
        <v>305339</v>
      </c>
      <c r="R794" s="17" t="n">
        <v>0</v>
      </c>
      <c r="S794" s="17" t="n">
        <v>0</v>
      </c>
      <c r="T794" s="17" t="n">
        <v>0</v>
      </c>
      <c r="U794" s="18" t="n">
        <v>0</v>
      </c>
    </row>
    <row r="795">
      <c r="A795" s="13" t="n">
        <v>45622</v>
      </c>
      <c r="B795" s="4">
        <f>TEXT(A795,"ddd")</f>
        <v/>
      </c>
      <c r="C795" s="14" t="n">
        <v>2626.2</v>
      </c>
      <c r="D795" s="14" t="n">
        <v>2642.7</v>
      </c>
      <c r="E795" s="14" t="n">
        <v>2605.3</v>
      </c>
      <c r="F795" s="14" t="n">
        <v>2621.3</v>
      </c>
      <c r="G795" s="9">
        <f>F795-F794</f>
        <v/>
      </c>
      <c r="H795" s="10">
        <f>IF(F794=0,0,G795/F794)</f>
        <v/>
      </c>
      <c r="I795" s="8">
        <f>D795-E795</f>
        <v/>
      </c>
      <c r="J795" s="4">
        <f>IF(F795&gt;C795,"Up",IF(F795&lt;C795,"Down","Flat"))</f>
        <v/>
      </c>
      <c r="K795" s="14" t="n">
        <v>43.61</v>
      </c>
      <c r="L795" s="15" t="n">
        <v>44.18</v>
      </c>
      <c r="M795" s="14" t="n">
        <v>2656.99</v>
      </c>
      <c r="N795" s="14" t="n">
        <v>2648.85</v>
      </c>
      <c r="O795" s="14" t="n">
        <v>2451.37</v>
      </c>
      <c r="P795" s="4">
        <f>IF(O795="","",IF(F795&gt;O795,"Above","Below"))</f>
        <v/>
      </c>
      <c r="Q795" s="16" t="n">
        <v>177858</v>
      </c>
      <c r="R795" s="17" t="n">
        <v>0</v>
      </c>
      <c r="S795" s="17" t="n">
        <v>0</v>
      </c>
      <c r="T795" s="17" t="n">
        <v>0</v>
      </c>
      <c r="U795" s="18" t="n">
        <v>0</v>
      </c>
    </row>
    <row r="796">
      <c r="A796" s="13" t="n">
        <v>45623</v>
      </c>
      <c r="B796" s="4">
        <f>TEXT(A796,"ddd")</f>
        <v/>
      </c>
      <c r="C796" s="14" t="n">
        <v>2633.5</v>
      </c>
      <c r="D796" s="14" t="n">
        <v>2657.9</v>
      </c>
      <c r="E796" s="14" t="n">
        <v>2627.2</v>
      </c>
      <c r="F796" s="14" t="n">
        <v>2639.9</v>
      </c>
      <c r="G796" s="9">
        <f>F796-F795</f>
        <v/>
      </c>
      <c r="H796" s="10">
        <f>IF(F795=0,0,G796/F795)</f>
        <v/>
      </c>
      <c r="I796" s="8">
        <f>D796-E796</f>
        <v/>
      </c>
      <c r="J796" s="4">
        <f>IF(F796&gt;C796,"Up",IF(F796&lt;C796,"Down","Flat"))</f>
        <v/>
      </c>
      <c r="K796" s="14" t="n">
        <v>43.11</v>
      </c>
      <c r="L796" s="15" t="n">
        <v>47.06</v>
      </c>
      <c r="M796" s="14" t="n">
        <v>2655.36</v>
      </c>
      <c r="N796" s="14" t="n">
        <v>2648.49</v>
      </c>
      <c r="O796" s="14" t="n">
        <v>2453.25</v>
      </c>
      <c r="P796" s="4">
        <f>IF(O796="","",IF(F796&gt;O796,"Above","Below"))</f>
        <v/>
      </c>
      <c r="Q796" s="16" t="n">
        <v>61653</v>
      </c>
      <c r="R796" s="17" t="n">
        <v>0</v>
      </c>
      <c r="S796" s="17" t="n">
        <v>0</v>
      </c>
      <c r="T796" s="17" t="n">
        <v>0</v>
      </c>
      <c r="U796" s="18" t="n">
        <v>0</v>
      </c>
    </row>
    <row r="797">
      <c r="A797" s="13" t="n">
        <v>45625</v>
      </c>
      <c r="B797" s="4">
        <f>TEXT(A797,"ddd")</f>
        <v/>
      </c>
      <c r="C797" s="14" t="n">
        <v>2636.4</v>
      </c>
      <c r="D797" s="14" t="n">
        <v>2664.3</v>
      </c>
      <c r="E797" s="14" t="n">
        <v>2620.7</v>
      </c>
      <c r="F797" s="14" t="n">
        <v>2657</v>
      </c>
      <c r="G797" s="9">
        <f>F797-F796</f>
        <v/>
      </c>
      <c r="H797" s="10">
        <f>IF(F796=0,0,G797/F796)</f>
        <v/>
      </c>
      <c r="I797" s="8">
        <f>D797-E797</f>
        <v/>
      </c>
      <c r="J797" s="4">
        <f>IF(F797&gt;C797,"Up",IF(F797&lt;C797,"Down","Flat"))</f>
        <v/>
      </c>
      <c r="K797" s="14" t="n">
        <v>43.14</v>
      </c>
      <c r="L797" s="15" t="n">
        <v>49.63</v>
      </c>
      <c r="M797" s="14" t="n">
        <v>2655.52</v>
      </c>
      <c r="N797" s="14" t="n">
        <v>2648.83</v>
      </c>
      <c r="O797" s="14" t="n">
        <v>2455.27</v>
      </c>
      <c r="P797" s="4">
        <f>IF(O797="","",IF(F797&gt;O797,"Above","Below"))</f>
        <v/>
      </c>
      <c r="Q797" s="16" t="n">
        <v>180756</v>
      </c>
      <c r="R797" s="17" t="n">
        <v>0</v>
      </c>
      <c r="S797" s="17" t="n">
        <v>0</v>
      </c>
      <c r="T797" s="17" t="n">
        <v>0</v>
      </c>
      <c r="U797" s="18" t="n">
        <v>0</v>
      </c>
    </row>
    <row r="798">
      <c r="A798" s="13" t="n">
        <v>45628</v>
      </c>
      <c r="B798" s="4">
        <f>TEXT(A798,"ddd")</f>
        <v/>
      </c>
      <c r="C798" s="14" t="n">
        <v>2673.8</v>
      </c>
      <c r="D798" s="14" t="n">
        <v>2678.5</v>
      </c>
      <c r="E798" s="14" t="n">
        <v>2644.5</v>
      </c>
      <c r="F798" s="14" t="n">
        <v>2658.5</v>
      </c>
      <c r="G798" s="9">
        <f>F798-F797</f>
        <v/>
      </c>
      <c r="H798" s="10">
        <f>IF(F797=0,0,G798/F797)</f>
        <v/>
      </c>
      <c r="I798" s="8">
        <f>D798-E798</f>
        <v/>
      </c>
      <c r="J798" s="4">
        <f>IF(F798&gt;C798,"Up",IF(F798&lt;C798,"Down","Flat"))</f>
        <v/>
      </c>
      <c r="K798" s="14" t="n">
        <v>42.49</v>
      </c>
      <c r="L798" s="15" t="n">
        <v>49.86</v>
      </c>
      <c r="M798" s="14" t="n">
        <v>2655.8</v>
      </c>
      <c r="N798" s="14" t="n">
        <v>2649.21</v>
      </c>
      <c r="O798" s="14" t="n">
        <v>2457.3</v>
      </c>
      <c r="P798" s="4">
        <f>IF(O798="","",IF(F798&gt;O798,"Above","Below"))</f>
        <v/>
      </c>
      <c r="Q798" s="16" t="n">
        <v>163543</v>
      </c>
      <c r="R798" s="17" t="n">
        <v>0</v>
      </c>
      <c r="S798" s="17" t="n">
        <v>0</v>
      </c>
      <c r="T798" s="17" t="n">
        <v>0</v>
      </c>
      <c r="U798" s="18" t="n">
        <v>0</v>
      </c>
    </row>
    <row r="799">
      <c r="A799" s="13" t="n">
        <v>45629</v>
      </c>
      <c r="B799" s="4">
        <f>TEXT(A799,"ddd")</f>
        <v/>
      </c>
      <c r="C799" s="14" t="n">
        <v>2662</v>
      </c>
      <c r="D799" s="14" t="n">
        <v>2678.4</v>
      </c>
      <c r="E799" s="14" t="n">
        <v>2656.6</v>
      </c>
      <c r="F799" s="14" t="n">
        <v>2667.9</v>
      </c>
      <c r="G799" s="9">
        <f>F799-F798</f>
        <v/>
      </c>
      <c r="H799" s="10">
        <f>IF(F798=0,0,G799/F798)</f>
        <v/>
      </c>
      <c r="I799" s="8">
        <f>D799-E799</f>
        <v/>
      </c>
      <c r="J799" s="4">
        <f>IF(F799&gt;C799,"Up",IF(F799&lt;C799,"Down","Flat"))</f>
        <v/>
      </c>
      <c r="K799" s="14" t="n">
        <v>41.01</v>
      </c>
      <c r="L799" s="15" t="n">
        <v>51.35</v>
      </c>
      <c r="M799" s="14" t="n">
        <v>2656.95</v>
      </c>
      <c r="N799" s="14" t="n">
        <v>2649.94</v>
      </c>
      <c r="O799" s="14" t="n">
        <v>2459.39</v>
      </c>
      <c r="P799" s="4">
        <f>IF(O799="","",IF(F799&gt;O799,"Above","Below"))</f>
        <v/>
      </c>
      <c r="Q799" s="16" t="n">
        <v>140965</v>
      </c>
      <c r="R799" s="17" t="n">
        <v>0</v>
      </c>
      <c r="S799" s="17" t="n">
        <v>0</v>
      </c>
      <c r="T799" s="17" t="n">
        <v>0</v>
      </c>
      <c r="U799" s="18" t="n">
        <v>0</v>
      </c>
    </row>
    <row r="800">
      <c r="A800" s="13" t="n">
        <v>45630</v>
      </c>
      <c r="B800" s="4">
        <f>TEXT(A800,"ddd")</f>
        <v/>
      </c>
      <c r="C800" s="14" t="n">
        <v>2665.8</v>
      </c>
      <c r="D800" s="14" t="n">
        <v>2682</v>
      </c>
      <c r="E800" s="14" t="n">
        <v>2654.2</v>
      </c>
      <c r="F800" s="14" t="n">
        <v>2676.2</v>
      </c>
      <c r="G800" s="9">
        <f>F800-F799</f>
        <v/>
      </c>
      <c r="H800" s="10">
        <f>IF(F799=0,0,G800/F799)</f>
        <v/>
      </c>
      <c r="I800" s="8">
        <f>D800-E800</f>
        <v/>
      </c>
      <c r="J800" s="4">
        <f>IF(F800&gt;C800,"Up",IF(F800&lt;C800,"Down","Flat"))</f>
        <v/>
      </c>
      <c r="K800" s="14" t="n">
        <v>40.07</v>
      </c>
      <c r="L800" s="15" t="n">
        <v>52.7</v>
      </c>
      <c r="M800" s="14" t="n">
        <v>2658.79</v>
      </c>
      <c r="N800" s="14" t="n">
        <v>2650.97</v>
      </c>
      <c r="O800" s="14" t="n">
        <v>2461.55</v>
      </c>
      <c r="P800" s="4">
        <f>IF(O800="","",IF(F800&gt;O800,"Above","Below"))</f>
        <v/>
      </c>
      <c r="Q800" s="16" t="n">
        <v>171792</v>
      </c>
      <c r="R800" s="17" t="n">
        <v>0</v>
      </c>
      <c r="S800" s="17" t="n">
        <v>0</v>
      </c>
      <c r="T800" s="17" t="n">
        <v>0</v>
      </c>
      <c r="U800" s="18" t="n">
        <v>0</v>
      </c>
    </row>
    <row r="801">
      <c r="A801" s="13" t="n">
        <v>45631</v>
      </c>
      <c r="B801" s="4">
        <f>TEXT(A801,"ddd")</f>
        <v/>
      </c>
      <c r="C801" s="14" t="n">
        <v>2674.2</v>
      </c>
      <c r="D801" s="14" t="n">
        <v>2680</v>
      </c>
      <c r="E801" s="14" t="n">
        <v>2646.3</v>
      </c>
      <c r="F801" s="14" t="n">
        <v>2648.4</v>
      </c>
      <c r="G801" s="9">
        <f>F801-F800</f>
        <v/>
      </c>
      <c r="H801" s="10">
        <f>IF(F800=0,0,G801/F800)</f>
        <v/>
      </c>
      <c r="I801" s="8">
        <f>D801-E801</f>
        <v/>
      </c>
      <c r="J801" s="4">
        <f>IF(F801&gt;C801,"Up",IF(F801&lt;C801,"Down","Flat"))</f>
        <v/>
      </c>
      <c r="K801" s="14" t="n">
        <v>39.61</v>
      </c>
      <c r="L801" s="15" t="n">
        <v>47.92</v>
      </c>
      <c r="M801" s="14" t="n">
        <v>2657.8</v>
      </c>
      <c r="N801" s="14" t="n">
        <v>2650.87</v>
      </c>
      <c r="O801" s="14" t="n">
        <v>2463.41</v>
      </c>
      <c r="P801" s="4">
        <f>IF(O801="","",IF(F801&gt;O801,"Above","Below"))</f>
        <v/>
      </c>
      <c r="Q801" s="16" t="n">
        <v>156116</v>
      </c>
      <c r="R801" s="17" t="n">
        <v>0</v>
      </c>
      <c r="S801" s="17" t="n">
        <v>0</v>
      </c>
      <c r="T801" s="17" t="n">
        <v>0</v>
      </c>
      <c r="U801" s="18" t="n">
        <v>0</v>
      </c>
    </row>
    <row r="802">
      <c r="A802" s="13" t="n">
        <v>45632</v>
      </c>
      <c r="B802" s="4">
        <f>TEXT(A802,"ddd")</f>
        <v/>
      </c>
      <c r="C802" s="14" t="n">
        <v>2655</v>
      </c>
      <c r="D802" s="14" t="n">
        <v>2667.9</v>
      </c>
      <c r="E802" s="14" t="n">
        <v>2635.6</v>
      </c>
      <c r="F802" s="14" t="n">
        <v>2659.6</v>
      </c>
      <c r="G802" s="9">
        <f>F802-F801</f>
        <v/>
      </c>
      <c r="H802" s="10">
        <f>IF(F801=0,0,G802/F801)</f>
        <v/>
      </c>
      <c r="I802" s="8">
        <f>D802-E802</f>
        <v/>
      </c>
      <c r="J802" s="4">
        <f>IF(F802&gt;C802,"Up",IF(F802&lt;C802,"Down","Flat"))</f>
        <v/>
      </c>
      <c r="K802" s="14" t="n">
        <v>39.09</v>
      </c>
      <c r="L802" s="15" t="n">
        <v>49.89</v>
      </c>
      <c r="M802" s="14" t="n">
        <v>2657.97</v>
      </c>
      <c r="N802" s="14" t="n">
        <v>2651.21</v>
      </c>
      <c r="O802" s="14" t="n">
        <v>2465.36</v>
      </c>
      <c r="P802" s="4">
        <f>IF(O802="","",IF(F802&gt;O802,"Above","Below"))</f>
        <v/>
      </c>
      <c r="Q802" s="16" t="n">
        <v>167166</v>
      </c>
      <c r="R802" s="17" t="n">
        <v>0</v>
      </c>
      <c r="S802" s="17" t="n">
        <v>0</v>
      </c>
      <c r="T802" s="17" t="n">
        <v>0</v>
      </c>
      <c r="U802" s="18" t="n">
        <v>0</v>
      </c>
    </row>
    <row r="803">
      <c r="A803" s="13" t="n">
        <v>45635</v>
      </c>
      <c r="B803" s="4">
        <f>TEXT(A803,"ddd")</f>
        <v/>
      </c>
      <c r="C803" s="14" t="n">
        <v>2665</v>
      </c>
      <c r="D803" s="14" t="n">
        <v>2700</v>
      </c>
      <c r="E803" s="14" t="n">
        <v>2649.7</v>
      </c>
      <c r="F803" s="14" t="n">
        <v>2685.8</v>
      </c>
      <c r="G803" s="9">
        <f>F803-F802</f>
        <v/>
      </c>
      <c r="H803" s="10">
        <f>IF(F802=0,0,G803/F802)</f>
        <v/>
      </c>
      <c r="I803" s="8">
        <f>D803-E803</f>
        <v/>
      </c>
      <c r="J803" s="4">
        <f>IF(F803&gt;C803,"Up",IF(F803&lt;C803,"Down","Flat"))</f>
        <v/>
      </c>
      <c r="K803" s="14" t="n">
        <v>39.89</v>
      </c>
      <c r="L803" s="15" t="n">
        <v>54.25</v>
      </c>
      <c r="M803" s="14" t="n">
        <v>2660.62</v>
      </c>
      <c r="N803" s="14" t="n">
        <v>2652.57</v>
      </c>
      <c r="O803" s="14" t="n">
        <v>2467.55</v>
      </c>
      <c r="P803" s="4">
        <f>IF(O803="","",IF(F803&gt;O803,"Above","Below"))</f>
        <v/>
      </c>
      <c r="Q803" s="16" t="n">
        <v>182150</v>
      </c>
      <c r="R803" s="17" t="n">
        <v>0</v>
      </c>
      <c r="S803" s="17" t="n">
        <v>0</v>
      </c>
      <c r="T803" s="17" t="n">
        <v>0</v>
      </c>
      <c r="U803" s="18" t="n">
        <v>0</v>
      </c>
    </row>
    <row r="804">
      <c r="A804" s="13" t="n">
        <v>45636</v>
      </c>
      <c r="B804" s="4">
        <f>TEXT(A804,"ddd")</f>
        <v/>
      </c>
      <c r="C804" s="14" t="n">
        <v>2684.4</v>
      </c>
      <c r="D804" s="14" t="n">
        <v>2721.7</v>
      </c>
      <c r="E804" s="14" t="n">
        <v>2680.7</v>
      </c>
      <c r="F804" s="14" t="n">
        <v>2718.4</v>
      </c>
      <c r="G804" s="9">
        <f>F804-F803</f>
        <v/>
      </c>
      <c r="H804" s="10">
        <f>IF(F803=0,0,G804/F803)</f>
        <v/>
      </c>
      <c r="I804" s="8">
        <f>D804-E804</f>
        <v/>
      </c>
      <c r="J804" s="4">
        <f>IF(F804&gt;C804,"Up",IF(F804&lt;C804,"Down","Flat"))</f>
        <v/>
      </c>
      <c r="K804" s="14" t="n">
        <v>39.97</v>
      </c>
      <c r="L804" s="15" t="n">
        <v>59.03</v>
      </c>
      <c r="M804" s="14" t="n">
        <v>2666.12</v>
      </c>
      <c r="N804" s="14" t="n">
        <v>2655.15</v>
      </c>
      <c r="O804" s="14" t="n">
        <v>2470.05</v>
      </c>
      <c r="P804" s="4">
        <f>IF(O804="","",IF(F804&gt;O804,"Above","Below"))</f>
        <v/>
      </c>
      <c r="Q804" s="16" t="n">
        <v>181509</v>
      </c>
      <c r="R804" s="17" t="n">
        <v>0</v>
      </c>
      <c r="S804" s="17" t="n">
        <v>0</v>
      </c>
      <c r="T804" s="17" t="n">
        <v>0</v>
      </c>
      <c r="U804" s="18" t="n">
        <v>0</v>
      </c>
    </row>
    <row r="805">
      <c r="A805" s="13" t="n">
        <v>45637</v>
      </c>
      <c r="B805" s="4">
        <f>TEXT(A805,"ddd")</f>
        <v/>
      </c>
      <c r="C805" s="14" t="n">
        <v>2721.2</v>
      </c>
      <c r="D805" s="14" t="n">
        <v>2759.7</v>
      </c>
      <c r="E805" s="14" t="n">
        <v>2719.1</v>
      </c>
      <c r="F805" s="14" t="n">
        <v>2756.7</v>
      </c>
      <c r="G805" s="9">
        <f>F805-F804</f>
        <v/>
      </c>
      <c r="H805" s="10">
        <f>IF(F804=0,0,G805/F804)</f>
        <v/>
      </c>
      <c r="I805" s="8">
        <f>D805-E805</f>
        <v/>
      </c>
      <c r="J805" s="4">
        <f>IF(F805&gt;C805,"Up",IF(F805&lt;C805,"Down","Flat"))</f>
        <v/>
      </c>
      <c r="K805" s="14" t="n">
        <v>40.07</v>
      </c>
      <c r="L805" s="15" t="n">
        <v>63.81</v>
      </c>
      <c r="M805" s="14" t="n">
        <v>2674.75</v>
      </c>
      <c r="N805" s="14" t="n">
        <v>2659.13</v>
      </c>
      <c r="O805" s="14" t="n">
        <v>2472.9</v>
      </c>
      <c r="P805" s="4">
        <f>IF(O805="","",IF(F805&gt;O805,"Above","Below"))</f>
        <v/>
      </c>
      <c r="Q805" s="16" t="n">
        <v>264985</v>
      </c>
      <c r="R805" s="17" t="n">
        <v>0</v>
      </c>
      <c r="S805" s="17" t="n">
        <v>0</v>
      </c>
      <c r="T805" s="17" t="n">
        <v>0</v>
      </c>
      <c r="U805" s="18" t="n">
        <v>0</v>
      </c>
    </row>
    <row r="806">
      <c r="A806" s="13" t="n">
        <v>45638</v>
      </c>
      <c r="B806" s="4">
        <f>TEXT(A806,"ddd")</f>
        <v/>
      </c>
      <c r="C806" s="14" t="n">
        <v>2753.6</v>
      </c>
      <c r="D806" s="14" t="n">
        <v>2761.3</v>
      </c>
      <c r="E806" s="14" t="n">
        <v>2696.7</v>
      </c>
      <c r="F806" s="14" t="n">
        <v>2709.4</v>
      </c>
      <c r="G806" s="9">
        <f>F806-F805</f>
        <v/>
      </c>
      <c r="H806" s="10">
        <f>IF(F805=0,0,G806/F805)</f>
        <v/>
      </c>
      <c r="I806" s="8">
        <f>D806-E806</f>
        <v/>
      </c>
      <c r="J806" s="4">
        <f>IF(F806&gt;C806,"Up",IF(F806&lt;C806,"Down","Flat"))</f>
        <v/>
      </c>
      <c r="K806" s="14" t="n">
        <v>41.82</v>
      </c>
      <c r="L806" s="15" t="n">
        <v>55.24</v>
      </c>
      <c r="M806" s="14" t="n">
        <v>2678.05</v>
      </c>
      <c r="N806" s="14" t="n">
        <v>2661.1</v>
      </c>
      <c r="O806" s="14" t="n">
        <v>2475.26</v>
      </c>
      <c r="P806" s="4">
        <f>IF(O806="","",IF(F806&gt;O806,"Above","Below"))</f>
        <v/>
      </c>
      <c r="Q806" s="16" t="n">
        <v>219468</v>
      </c>
      <c r="R806" s="17" t="n">
        <v>0</v>
      </c>
      <c r="S806" s="17" t="n">
        <v>0</v>
      </c>
      <c r="T806" s="17" t="n">
        <v>0</v>
      </c>
      <c r="U806" s="18" t="n">
        <v>0</v>
      </c>
    </row>
    <row r="807">
      <c r="A807" s="13" t="n">
        <v>45639</v>
      </c>
      <c r="B807" s="4">
        <f>TEXT(A807,"ddd")</f>
        <v/>
      </c>
      <c r="C807" s="14" t="n">
        <v>2704.9</v>
      </c>
      <c r="D807" s="14" t="n">
        <v>2716.4</v>
      </c>
      <c r="E807" s="14" t="n">
        <v>2663.3</v>
      </c>
      <c r="F807" s="14" t="n">
        <v>2675.8</v>
      </c>
      <c r="G807" s="9">
        <f>F807-F806</f>
        <v/>
      </c>
      <c r="H807" s="10">
        <f>IF(F806=0,0,G807/F806)</f>
        <v/>
      </c>
      <c r="I807" s="8">
        <f>D807-E807</f>
        <v/>
      </c>
      <c r="J807" s="4">
        <f>IF(F807&gt;C807,"Up",IF(F807&lt;C807,"Down","Flat"))</f>
        <v/>
      </c>
      <c r="K807" s="14" t="n">
        <v>42.62</v>
      </c>
      <c r="L807" s="15" t="n">
        <v>50.09</v>
      </c>
      <c r="M807" s="14" t="n">
        <v>2677.84</v>
      </c>
      <c r="N807" s="14" t="n">
        <v>2661.68</v>
      </c>
      <c r="O807" s="14" t="n">
        <v>2477.25</v>
      </c>
      <c r="P807" s="4">
        <f>IF(O807="","",IF(F807&gt;O807,"Above","Below"))</f>
        <v/>
      </c>
      <c r="Q807" s="16" t="n">
        <v>178685</v>
      </c>
      <c r="R807" s="17" t="n">
        <v>0</v>
      </c>
      <c r="S807" s="17" t="n">
        <v>0</v>
      </c>
      <c r="T807" s="17" t="n">
        <v>0</v>
      </c>
      <c r="U807" s="18" t="n">
        <v>0</v>
      </c>
    </row>
    <row r="808">
      <c r="A808" s="13" t="n">
        <v>45642</v>
      </c>
      <c r="B808" s="4">
        <f>TEXT(A808,"ddd")</f>
        <v/>
      </c>
      <c r="C808" s="14" t="n">
        <v>2668</v>
      </c>
      <c r="D808" s="14" t="n">
        <v>2683.4</v>
      </c>
      <c r="E808" s="14" t="n">
        <v>2661.4</v>
      </c>
      <c r="F808" s="14" t="n">
        <v>2670</v>
      </c>
      <c r="G808" s="9">
        <f>F808-F807</f>
        <v/>
      </c>
      <c r="H808" s="10">
        <f>IF(F807=0,0,G808/F807)</f>
        <v/>
      </c>
      <c r="I808" s="8">
        <f>D808-E808</f>
        <v/>
      </c>
      <c r="J808" s="4">
        <f>IF(F808&gt;C808,"Up",IF(F808&lt;C808,"Down","Flat"))</f>
        <v/>
      </c>
      <c r="K808" s="14" t="n">
        <v>41.15</v>
      </c>
      <c r="L808" s="15" t="n">
        <v>49.24</v>
      </c>
      <c r="M808" s="14" t="n">
        <v>2677.09</v>
      </c>
      <c r="N808" s="14" t="n">
        <v>2662.01</v>
      </c>
      <c r="O808" s="14" t="n">
        <v>2479.17</v>
      </c>
      <c r="P808" s="4">
        <f>IF(O808="","",IF(F808&gt;O808,"Above","Below"))</f>
        <v/>
      </c>
      <c r="Q808" s="16" t="n">
        <v>115996</v>
      </c>
      <c r="R808" s="17" t="n">
        <v>0</v>
      </c>
      <c r="S808" s="17" t="n">
        <v>0</v>
      </c>
      <c r="T808" s="17" t="n">
        <v>0</v>
      </c>
      <c r="U808" s="18" t="n">
        <v>0</v>
      </c>
    </row>
    <row r="809">
      <c r="A809" s="13" t="n">
        <v>45643</v>
      </c>
      <c r="B809" s="4">
        <f>TEXT(A809,"ddd")</f>
        <v/>
      </c>
      <c r="C809" s="14" t="n">
        <v>2670.2</v>
      </c>
      <c r="D809" s="14" t="n">
        <v>2675.8</v>
      </c>
      <c r="E809" s="14" t="n">
        <v>2646.1</v>
      </c>
      <c r="F809" s="14" t="n">
        <v>2662</v>
      </c>
      <c r="G809" s="9">
        <f>F809-F808</f>
        <v/>
      </c>
      <c r="H809" s="10">
        <f>IF(F808=0,0,G809/F808)</f>
        <v/>
      </c>
      <c r="I809" s="8">
        <f>D809-E809</f>
        <v/>
      </c>
      <c r="J809" s="4">
        <f>IF(F809&gt;C809,"Up",IF(F809&lt;C809,"Down","Flat"))</f>
        <v/>
      </c>
      <c r="K809" s="14" t="n">
        <v>40.33</v>
      </c>
      <c r="L809" s="15" t="n">
        <v>48.02</v>
      </c>
      <c r="M809" s="14" t="n">
        <v>2675.65</v>
      </c>
      <c r="N809" s="14" t="n">
        <v>2662.01</v>
      </c>
      <c r="O809" s="14" t="n">
        <v>2480.99</v>
      </c>
      <c r="P809" s="4">
        <f>IF(O809="","",IF(F809&gt;O809,"Above","Below"))</f>
        <v/>
      </c>
      <c r="Q809" s="16" t="n">
        <v>147053</v>
      </c>
      <c r="R809" s="17" t="n">
        <v>0</v>
      </c>
      <c r="S809" s="17" t="n">
        <v>0</v>
      </c>
      <c r="T809" s="17" t="n">
        <v>0</v>
      </c>
      <c r="U809" s="18" t="n">
        <v>0</v>
      </c>
    </row>
    <row r="810">
      <c r="A810" s="13" t="n">
        <v>45644</v>
      </c>
      <c r="B810" s="4">
        <f>TEXT(A810,"ddd")</f>
        <v/>
      </c>
      <c r="C810" s="14" t="n">
        <v>2663.3</v>
      </c>
      <c r="D810" s="14" t="n">
        <v>2667.6</v>
      </c>
      <c r="E810" s="14" t="n">
        <v>2598.1</v>
      </c>
      <c r="F810" s="14" t="n">
        <v>2653.3</v>
      </c>
      <c r="G810" s="9">
        <f>F810-F809</f>
        <v/>
      </c>
      <c r="H810" s="10">
        <f>IF(F809=0,0,G810/F809)</f>
        <v/>
      </c>
      <c r="I810" s="8">
        <f>D810-E810</f>
        <v/>
      </c>
      <c r="J810" s="4">
        <f>IF(F810&gt;C810,"Up",IF(F810&lt;C810,"Down","Flat"))</f>
        <v/>
      </c>
      <c r="K810" s="14" t="n">
        <v>42.42</v>
      </c>
      <c r="L810" s="15" t="n">
        <v>46.67</v>
      </c>
      <c r="M810" s="14" t="n">
        <v>2673.52</v>
      </c>
      <c r="N810" s="14" t="n">
        <v>2661.66</v>
      </c>
      <c r="O810" s="14" t="n">
        <v>2482.7</v>
      </c>
      <c r="P810" s="4">
        <f>IF(O810="","",IF(F810&gt;O810,"Above","Below"))</f>
        <v/>
      </c>
      <c r="Q810" s="16" t="n">
        <v>156334</v>
      </c>
      <c r="R810" s="17" t="n">
        <v>0</v>
      </c>
      <c r="S810" s="17" t="n">
        <v>0</v>
      </c>
      <c r="T810" s="17" t="n">
        <v>0</v>
      </c>
      <c r="U810" s="18" t="n">
        <v>0</v>
      </c>
    </row>
    <row r="811">
      <c r="A811" s="13" t="n">
        <v>45645</v>
      </c>
      <c r="B811" s="4">
        <f>TEXT(A811,"ddd")</f>
        <v/>
      </c>
      <c r="C811" s="14" t="n">
        <v>2600.6</v>
      </c>
      <c r="D811" s="14" t="n">
        <v>2640.9</v>
      </c>
      <c r="E811" s="14" t="n">
        <v>2596.7</v>
      </c>
      <c r="F811" s="14" t="n">
        <v>2608.1</v>
      </c>
      <c r="G811" s="9">
        <f>F811-F810</f>
        <v/>
      </c>
      <c r="H811" s="10">
        <f>IF(F810=0,0,G811/F810)</f>
        <v/>
      </c>
      <c r="I811" s="8">
        <f>D811-E811</f>
        <v/>
      </c>
      <c r="J811" s="4">
        <f>IF(F811&gt;C811,"Up",IF(F811&lt;C811,"Down","Flat"))</f>
        <v/>
      </c>
      <c r="K811" s="14" t="n">
        <v>43.43</v>
      </c>
      <c r="L811" s="15" t="n">
        <v>40.34</v>
      </c>
      <c r="M811" s="14" t="n">
        <v>2667.29</v>
      </c>
      <c r="N811" s="14" t="n">
        <v>2659.56</v>
      </c>
      <c r="O811" s="14" t="n">
        <v>2483.95</v>
      </c>
      <c r="P811" s="4">
        <f>IF(O811="","",IF(F811&gt;O811,"Above","Below"))</f>
        <v/>
      </c>
      <c r="Q811" s="16" t="n">
        <v>191587</v>
      </c>
      <c r="R811" s="17" t="n">
        <v>0</v>
      </c>
      <c r="S811" s="17" t="n">
        <v>0</v>
      </c>
      <c r="T811" s="17" t="n">
        <v>0</v>
      </c>
      <c r="U811" s="18" t="n">
        <v>0</v>
      </c>
    </row>
    <row r="812">
      <c r="A812" s="13" t="n">
        <v>45646</v>
      </c>
      <c r="B812" s="4">
        <f>TEXT(A812,"ddd")</f>
        <v/>
      </c>
      <c r="C812" s="14" t="n">
        <v>2609.7</v>
      </c>
      <c r="D812" s="14" t="n">
        <v>2653.8</v>
      </c>
      <c r="E812" s="14" t="n">
        <v>2603.7</v>
      </c>
      <c r="F812" s="14" t="n">
        <v>2645.1</v>
      </c>
      <c r="G812" s="9">
        <f>F812-F811</f>
        <v/>
      </c>
      <c r="H812" s="10">
        <f>IF(F811=0,0,G812/F811)</f>
        <v/>
      </c>
      <c r="I812" s="8">
        <f>D812-E812</f>
        <v/>
      </c>
      <c r="J812" s="4">
        <f>IF(F812&gt;C812,"Up",IF(F812&lt;C812,"Down","Flat"))</f>
        <v/>
      </c>
      <c r="K812" s="14" t="n">
        <v>43.91</v>
      </c>
      <c r="L812" s="15" t="n">
        <v>46.71</v>
      </c>
      <c r="M812" s="14" t="n">
        <v>2665.18</v>
      </c>
      <c r="N812" s="14" t="n">
        <v>2659</v>
      </c>
      <c r="O812" s="14" t="n">
        <v>2485.55</v>
      </c>
      <c r="P812" s="4">
        <f>IF(O812="","",IF(F812&gt;O812,"Above","Below"))</f>
        <v/>
      </c>
      <c r="Q812" s="16" t="n">
        <v>153567</v>
      </c>
      <c r="R812" s="17" t="n">
        <v>0</v>
      </c>
      <c r="S812" s="17" t="n">
        <v>0</v>
      </c>
      <c r="T812" s="17" t="n">
        <v>0</v>
      </c>
      <c r="U812" s="18" t="n">
        <v>0</v>
      </c>
    </row>
    <row r="813">
      <c r="A813" s="13" t="n">
        <v>45649</v>
      </c>
      <c r="B813" s="4">
        <f>TEXT(A813,"ddd")</f>
        <v/>
      </c>
      <c r="C813" s="14" t="n">
        <v>2639.1</v>
      </c>
      <c r="D813" s="14" t="n">
        <v>2646.8</v>
      </c>
      <c r="E813" s="14" t="n">
        <v>2623.2</v>
      </c>
      <c r="F813" s="14" t="n">
        <v>2628.2</v>
      </c>
      <c r="G813" s="9">
        <f>F813-F812</f>
        <v/>
      </c>
      <c r="H813" s="10">
        <f>IF(F812=0,0,G813/F812)</f>
        <v/>
      </c>
      <c r="I813" s="8">
        <f>D813-E813</f>
        <v/>
      </c>
      <c r="J813" s="4">
        <f>IF(F813&gt;C813,"Up",IF(F813&lt;C813,"Down","Flat"))</f>
        <v/>
      </c>
      <c r="K813" s="14" t="n">
        <v>42.46</v>
      </c>
      <c r="L813" s="15" t="n">
        <v>44.38</v>
      </c>
      <c r="M813" s="14" t="n">
        <v>2661.66</v>
      </c>
      <c r="N813" s="14" t="n">
        <v>2657.79</v>
      </c>
      <c r="O813" s="14" t="n">
        <v>2486.97</v>
      </c>
      <c r="P813" s="4">
        <f>IF(O813="","",IF(F813&gt;O813,"Above","Below"))</f>
        <v/>
      </c>
      <c r="Q813" s="16" t="n">
        <v>105131</v>
      </c>
      <c r="R813" s="17" t="n">
        <v>0</v>
      </c>
      <c r="S813" s="17" t="n">
        <v>0</v>
      </c>
      <c r="T813" s="17" t="n">
        <v>0</v>
      </c>
      <c r="U813" s="18" t="n">
        <v>0</v>
      </c>
    </row>
    <row r="814">
      <c r="A814" s="13" t="n">
        <v>45650</v>
      </c>
      <c r="B814" s="4">
        <f>TEXT(A814,"ddd")</f>
        <v/>
      </c>
      <c r="C814" s="14" t="n">
        <v>2629.4</v>
      </c>
      <c r="D814" s="14" t="n">
        <v>2635.8</v>
      </c>
      <c r="E814" s="14" t="n">
        <v>2624.2</v>
      </c>
      <c r="F814" s="14" t="n">
        <v>2635.5</v>
      </c>
      <c r="G814" s="9">
        <f>F814-F813</f>
        <v/>
      </c>
      <c r="H814" s="10">
        <f>IF(F813=0,0,G814/F813)</f>
        <v/>
      </c>
      <c r="I814" s="8">
        <f>D814-E814</f>
        <v/>
      </c>
      <c r="J814" s="4">
        <f>IF(F814&gt;C814,"Up",IF(F814&lt;C814,"Down","Flat"))</f>
        <v/>
      </c>
      <c r="K814" s="14" t="n">
        <v>40.25</v>
      </c>
      <c r="L814" s="15" t="n">
        <v>45.64</v>
      </c>
      <c r="M814" s="14" t="n">
        <v>2659.17</v>
      </c>
      <c r="N814" s="14" t="n">
        <v>2656.92</v>
      </c>
      <c r="O814" s="14" t="n">
        <v>2488.45</v>
      </c>
      <c r="P814" s="4">
        <f>IF(O814="","",IF(F814&gt;O814,"Above","Below"))</f>
        <v/>
      </c>
      <c r="Q814" s="16" t="n">
        <v>53366</v>
      </c>
      <c r="R814" s="17" t="n">
        <v>0</v>
      </c>
      <c r="S814" s="17" t="n">
        <v>0</v>
      </c>
      <c r="T814" s="17" t="n">
        <v>0</v>
      </c>
      <c r="U814" s="18" t="n">
        <v>0</v>
      </c>
    </row>
    <row r="815">
      <c r="A815" s="13" t="n">
        <v>45652</v>
      </c>
      <c r="B815" s="4">
        <f>TEXT(A815,"ddd")</f>
        <v/>
      </c>
      <c r="C815" s="14" t="n">
        <v>2638</v>
      </c>
      <c r="D815" s="14" t="n">
        <v>2655.7</v>
      </c>
      <c r="E815" s="14" t="n">
        <v>2634.1</v>
      </c>
      <c r="F815" s="14" t="n">
        <v>2653.9</v>
      </c>
      <c r="G815" s="9">
        <f>F815-F814</f>
        <v/>
      </c>
      <c r="H815" s="10">
        <f>IF(F814=0,0,G815/F814)</f>
        <v/>
      </c>
      <c r="I815" s="8">
        <f>D815-E815</f>
        <v/>
      </c>
      <c r="J815" s="4">
        <f>IF(F815&gt;C815,"Up",IF(F815&lt;C815,"Down","Flat"))</f>
        <v/>
      </c>
      <c r="K815" s="14" t="n">
        <v>38.92</v>
      </c>
      <c r="L815" s="15" t="n">
        <v>48.8</v>
      </c>
      <c r="M815" s="14" t="n">
        <v>2658.66</v>
      </c>
      <c r="N815" s="14" t="n">
        <v>2656.8</v>
      </c>
      <c r="O815" s="14" t="n">
        <v>2490.1</v>
      </c>
      <c r="P815" s="4">
        <f>IF(O815="","",IF(F815&gt;O815,"Above","Below"))</f>
        <v/>
      </c>
      <c r="Q815" s="16" t="n">
        <v>79265</v>
      </c>
      <c r="R815" s="17" t="n">
        <v>0</v>
      </c>
      <c r="S815" s="17" t="n">
        <v>0</v>
      </c>
      <c r="T815" s="17" t="n">
        <v>0</v>
      </c>
      <c r="U815" s="18" t="n">
        <v>0</v>
      </c>
    </row>
    <row r="816">
      <c r="A816" s="13" t="n">
        <v>45653</v>
      </c>
      <c r="B816" s="4">
        <f>TEXT(A816,"ddd")</f>
        <v/>
      </c>
      <c r="C816" s="14" t="n">
        <v>2653.7</v>
      </c>
      <c r="D816" s="14" t="n">
        <v>2654.6</v>
      </c>
      <c r="E816" s="14" t="n">
        <v>2625.2</v>
      </c>
      <c r="F816" s="14" t="n">
        <v>2631.9</v>
      </c>
      <c r="G816" s="9">
        <f>F816-F815</f>
        <v/>
      </c>
      <c r="H816" s="10">
        <f>IF(F815=0,0,G816/F815)</f>
        <v/>
      </c>
      <c r="I816" s="8">
        <f>D816-E816</f>
        <v/>
      </c>
      <c r="J816" s="4">
        <f>IF(F816&gt;C816,"Up",IF(F816&lt;C816,"Down","Flat"))</f>
        <v/>
      </c>
      <c r="K816" s="14" t="n">
        <v>38.24</v>
      </c>
      <c r="L816" s="15" t="n">
        <v>45.41</v>
      </c>
      <c r="M816" s="14" t="n">
        <v>2656.12</v>
      </c>
      <c r="N816" s="14" t="n">
        <v>2655.82</v>
      </c>
      <c r="O816" s="14" t="n">
        <v>2491.51</v>
      </c>
      <c r="P816" s="4">
        <f>IF(O816="","",IF(F816&gt;O816,"Above","Below"))</f>
        <v/>
      </c>
      <c r="Q816" s="16" t="n">
        <v>93897</v>
      </c>
      <c r="R816" s="17" t="n">
        <v>0</v>
      </c>
      <c r="S816" s="17" t="n">
        <v>0</v>
      </c>
      <c r="T816" s="17" t="n">
        <v>0</v>
      </c>
      <c r="U816" s="18" t="n">
        <v>0</v>
      </c>
    </row>
    <row r="817">
      <c r="A817" s="13" t="n">
        <v>45656</v>
      </c>
      <c r="B817" s="4">
        <f>TEXT(A817,"ddd")</f>
        <v/>
      </c>
      <c r="C817" s="14" t="n">
        <v>2636.1</v>
      </c>
      <c r="D817" s="14" t="n">
        <v>2640.7</v>
      </c>
      <c r="E817" s="14" t="n">
        <v>2608.4</v>
      </c>
      <c r="F817" s="14" t="n">
        <v>2618.1</v>
      </c>
      <c r="G817" s="9">
        <f>F817-F816</f>
        <v/>
      </c>
      <c r="H817" s="10">
        <f>IF(F816=0,0,G817/F816)</f>
        <v/>
      </c>
      <c r="I817" s="8">
        <f>D817-E817</f>
        <v/>
      </c>
      <c r="J817" s="4">
        <f>IF(F817&gt;C817,"Up",IF(F817&lt;C817,"Down","Flat"))</f>
        <v/>
      </c>
      <c r="K817" s="14" t="n">
        <v>37.82</v>
      </c>
      <c r="L817" s="15" t="n">
        <v>43.37</v>
      </c>
      <c r="M817" s="14" t="n">
        <v>2652.49</v>
      </c>
      <c r="N817" s="14" t="n">
        <v>2654.34</v>
      </c>
      <c r="O817" s="14" t="n">
        <v>2492.77</v>
      </c>
      <c r="P817" s="4">
        <f>IF(O817="","",IF(F817&gt;O817,"Above","Below"))</f>
        <v/>
      </c>
      <c r="Q817" s="16" t="n">
        <v>110915</v>
      </c>
      <c r="R817" s="17" t="n">
        <v>0</v>
      </c>
      <c r="S817" s="17" t="n">
        <v>0</v>
      </c>
      <c r="T817" s="17" t="n">
        <v>0</v>
      </c>
      <c r="U817" s="18" t="n">
        <v>0</v>
      </c>
    </row>
    <row r="818">
      <c r="A818" s="13" t="n">
        <v>45657</v>
      </c>
      <c r="B818" s="4">
        <f>TEXT(A818,"ddd")</f>
        <v/>
      </c>
      <c r="C818" s="14" t="n">
        <v>2620</v>
      </c>
      <c r="D818" s="14" t="n">
        <v>2642</v>
      </c>
      <c r="E818" s="14" t="n">
        <v>2614.3</v>
      </c>
      <c r="F818" s="14" t="n">
        <v>2641</v>
      </c>
      <c r="G818" s="9">
        <f>F818-F817</f>
        <v/>
      </c>
      <c r="H818" s="10">
        <f>IF(F817=0,0,G818/F817)</f>
        <v/>
      </c>
      <c r="I818" s="8">
        <f>D818-E818</f>
        <v/>
      </c>
      <c r="J818" s="4">
        <f>IF(F818&gt;C818,"Up",IF(F818&lt;C818,"Down","Flat"))</f>
        <v/>
      </c>
      <c r="K818" s="14" t="n">
        <v>37.09</v>
      </c>
      <c r="L818" s="15" t="n">
        <v>47.57</v>
      </c>
      <c r="M818" s="14" t="n">
        <v>2651.4</v>
      </c>
      <c r="N818" s="14" t="n">
        <v>2653.82</v>
      </c>
      <c r="O818" s="14" t="n">
        <v>2494.24</v>
      </c>
      <c r="P818" s="4">
        <f>IF(O818="","",IF(F818&gt;O818,"Above","Below"))</f>
        <v/>
      </c>
      <c r="Q818" s="16" t="n">
        <v>86292</v>
      </c>
      <c r="R818" s="17" t="n">
        <v>0</v>
      </c>
      <c r="S818" s="17" t="n">
        <v>0</v>
      </c>
      <c r="T818" s="17" t="n">
        <v>0</v>
      </c>
      <c r="U818" s="18" t="n">
        <v>0</v>
      </c>
    </row>
    <row r="819">
      <c r="A819" s="13" t="n">
        <v>45659</v>
      </c>
      <c r="B819" s="4">
        <f>TEXT(A819,"ddd")</f>
        <v/>
      </c>
      <c r="C819" s="14" t="n">
        <v>2641</v>
      </c>
      <c r="D819" s="14" t="n">
        <v>2674.2</v>
      </c>
      <c r="E819" s="14" t="n">
        <v>2636.1</v>
      </c>
      <c r="F819" s="14" t="n">
        <v>2669</v>
      </c>
      <c r="G819" s="9">
        <f>F819-F818</f>
        <v/>
      </c>
      <c r="H819" s="10">
        <f>IF(F818=0,0,G819/F818)</f>
        <v/>
      </c>
      <c r="I819" s="8">
        <f>D819-E819</f>
        <v/>
      </c>
      <c r="J819" s="4">
        <f>IF(F819&gt;C819,"Up",IF(F819&lt;C819,"Down","Flat"))</f>
        <v/>
      </c>
      <c r="K819" s="14" t="n">
        <v>37.16</v>
      </c>
      <c r="L819" s="15" t="n">
        <v>52.24</v>
      </c>
      <c r="M819" s="14" t="n">
        <v>2653.08</v>
      </c>
      <c r="N819" s="14" t="n">
        <v>2654.41</v>
      </c>
      <c r="O819" s="14" t="n">
        <v>2495.98</v>
      </c>
      <c r="P819" s="4">
        <f>IF(O819="","",IF(F819&gt;O819,"Above","Below"))</f>
        <v/>
      </c>
      <c r="Q819" s="16" t="n">
        <v>144517</v>
      </c>
      <c r="R819" s="17" t="n">
        <v>0</v>
      </c>
      <c r="S819" s="17" t="n">
        <v>0</v>
      </c>
      <c r="T819" s="17" t="n">
        <v>0</v>
      </c>
      <c r="U819" s="18" t="n">
        <v>0</v>
      </c>
    </row>
    <row r="820">
      <c r="A820" s="13" t="n">
        <v>45660</v>
      </c>
      <c r="B820" s="4">
        <f>TEXT(A820,"ddd")</f>
        <v/>
      </c>
      <c r="C820" s="14" t="n">
        <v>2671.1</v>
      </c>
      <c r="D820" s="14" t="n">
        <v>2681</v>
      </c>
      <c r="E820" s="14" t="n">
        <v>2649.7</v>
      </c>
      <c r="F820" s="14" t="n">
        <v>2654.7</v>
      </c>
      <c r="G820" s="9">
        <f>F820-F819</f>
        <v/>
      </c>
      <c r="H820" s="10">
        <f>IF(F819=0,0,G820/F819)</f>
        <v/>
      </c>
      <c r="I820" s="8">
        <f>D820-E820</f>
        <v/>
      </c>
      <c r="J820" s="4">
        <f>IF(F820&gt;C820,"Up",IF(F820&lt;C820,"Down","Flat"))</f>
        <v/>
      </c>
      <c r="K820" s="14" t="n">
        <v>36.75</v>
      </c>
      <c r="L820" s="15" t="n">
        <v>49.8</v>
      </c>
      <c r="M820" s="14" t="n">
        <v>2653.23</v>
      </c>
      <c r="N820" s="14" t="n">
        <v>2654.42</v>
      </c>
      <c r="O820" s="14" t="n">
        <v>2497.56</v>
      </c>
      <c r="P820" s="4">
        <f>IF(O820="","",IF(F820&gt;O820,"Above","Below"))</f>
        <v/>
      </c>
      <c r="Q820" s="16" t="n">
        <v>121173</v>
      </c>
      <c r="R820" s="17" t="n">
        <v>0</v>
      </c>
      <c r="S820" s="17" t="n">
        <v>0</v>
      </c>
      <c r="T820" s="17" t="n">
        <v>0</v>
      </c>
      <c r="U820" s="18" t="n">
        <v>0</v>
      </c>
    </row>
    <row r="821">
      <c r="A821" s="13" t="n">
        <v>45663</v>
      </c>
      <c r="B821" s="4">
        <f>TEXT(A821,"ddd")</f>
        <v/>
      </c>
      <c r="C821" s="14" t="n">
        <v>2652.8</v>
      </c>
      <c r="D821" s="14" t="n">
        <v>2663.8</v>
      </c>
      <c r="E821" s="14" t="n">
        <v>2624.6</v>
      </c>
      <c r="F821" s="14" t="n">
        <v>2647.4</v>
      </c>
      <c r="G821" s="9">
        <f>F821-F820</f>
        <v/>
      </c>
      <c r="H821" s="10">
        <f>IF(F820=0,0,G821/F820)</f>
        <v/>
      </c>
      <c r="I821" s="8">
        <f>D821-E821</f>
        <v/>
      </c>
      <c r="J821" s="4">
        <f>IF(F821&gt;C821,"Up",IF(F821&lt;C821,"Down","Flat"))</f>
        <v/>
      </c>
      <c r="K821" s="14" t="n">
        <v>36.92</v>
      </c>
      <c r="L821" s="15" t="n">
        <v>48.56</v>
      </c>
      <c r="M821" s="14" t="n">
        <v>2652.68</v>
      </c>
      <c r="N821" s="14" t="n">
        <v>2654.15</v>
      </c>
      <c r="O821" s="14" t="n">
        <v>2499.05</v>
      </c>
      <c r="P821" s="4">
        <f>IF(O821="","",IF(F821&gt;O821,"Above","Below"))</f>
        <v/>
      </c>
      <c r="Q821" s="16" t="n">
        <v>169923</v>
      </c>
      <c r="R821" s="17" t="n">
        <v>0</v>
      </c>
      <c r="S821" s="17" t="n">
        <v>0</v>
      </c>
      <c r="T821" s="17" t="n">
        <v>0</v>
      </c>
      <c r="U821" s="18" t="n">
        <v>0</v>
      </c>
    </row>
    <row r="822">
      <c r="A822" s="13" t="n">
        <v>45664</v>
      </c>
      <c r="B822" s="4">
        <f>TEXT(A822,"ddd")</f>
        <v/>
      </c>
      <c r="C822" s="14" t="n">
        <v>2647.1</v>
      </c>
      <c r="D822" s="14" t="n">
        <v>2678.5</v>
      </c>
      <c r="E822" s="14" t="n">
        <v>2643.5</v>
      </c>
      <c r="F822" s="14" t="n">
        <v>2665.4</v>
      </c>
      <c r="G822" s="9">
        <f>F822-F821</f>
        <v/>
      </c>
      <c r="H822" s="10">
        <f>IF(F821=0,0,G822/F821)</f>
        <v/>
      </c>
      <c r="I822" s="8">
        <f>D822-E822</f>
        <v/>
      </c>
      <c r="J822" s="4">
        <f>IF(F822&gt;C822,"Up",IF(F822&lt;C822,"Down","Flat"))</f>
        <v/>
      </c>
      <c r="K822" s="14" t="n">
        <v>36.78</v>
      </c>
      <c r="L822" s="15" t="n">
        <v>51.76</v>
      </c>
      <c r="M822" s="14" t="n">
        <v>2653.89</v>
      </c>
      <c r="N822" s="14" t="n">
        <v>2654.59</v>
      </c>
      <c r="O822" s="14" t="n">
        <v>2500.71</v>
      </c>
      <c r="P822" s="4">
        <f>IF(O822="","",IF(F822&gt;O822,"Above","Below"))</f>
        <v/>
      </c>
      <c r="Q822" s="16" t="n">
        <v>161617</v>
      </c>
      <c r="R822" s="17" t="n">
        <v>0</v>
      </c>
      <c r="S822" s="17" t="n">
        <v>0</v>
      </c>
      <c r="T822" s="17" t="n">
        <v>0</v>
      </c>
      <c r="U822" s="18" t="n">
        <v>0</v>
      </c>
    </row>
    <row r="823">
      <c r="A823" s="13" t="n">
        <v>45665</v>
      </c>
      <c r="B823" s="4">
        <f>TEXT(A823,"ddd")</f>
        <v/>
      </c>
      <c r="C823" s="14" t="n">
        <v>2662.9</v>
      </c>
      <c r="D823" s="14" t="n">
        <v>2687</v>
      </c>
      <c r="E823" s="14" t="n">
        <v>2658.4</v>
      </c>
      <c r="F823" s="14" t="n">
        <v>2672.4</v>
      </c>
      <c r="G823" s="9">
        <f>F823-F822</f>
        <v/>
      </c>
      <c r="H823" s="10">
        <f>IF(F822=0,0,G823/F822)</f>
        <v/>
      </c>
      <c r="I823" s="8">
        <f>D823-E823</f>
        <v/>
      </c>
      <c r="J823" s="4">
        <f>IF(F823&gt;C823,"Up",IF(F823&lt;C823,"Down","Flat"))</f>
        <v/>
      </c>
      <c r="K823" s="14" t="n">
        <v>36.2</v>
      </c>
      <c r="L823" s="15" t="n">
        <v>52.99</v>
      </c>
      <c r="M823" s="14" t="n">
        <v>2655.65</v>
      </c>
      <c r="N823" s="14" t="n">
        <v>2655.29</v>
      </c>
      <c r="O823" s="14" t="n">
        <v>2502.42</v>
      </c>
      <c r="P823" s="4">
        <f>IF(O823="","",IF(F823&gt;O823,"Above","Below"))</f>
        <v/>
      </c>
      <c r="Q823" s="16" t="n">
        <v>197370</v>
      </c>
      <c r="R823" s="17" t="n">
        <v>0</v>
      </c>
      <c r="S823" s="17" t="n">
        <v>0</v>
      </c>
      <c r="T823" s="17" t="n">
        <v>0</v>
      </c>
      <c r="U823" s="18" t="n">
        <v>0</v>
      </c>
    </row>
    <row r="824">
      <c r="A824" s="13" t="n">
        <v>45666</v>
      </c>
      <c r="B824" s="4">
        <f>TEXT(A824,"ddd")</f>
        <v/>
      </c>
      <c r="C824" s="14" t="n">
        <v>2679.9</v>
      </c>
      <c r="D824" s="14" t="n">
        <v>2696.8</v>
      </c>
      <c r="E824" s="14" t="n">
        <v>2673.7</v>
      </c>
      <c r="F824" s="14" t="n">
        <v>2690.8</v>
      </c>
      <c r="G824" s="9">
        <f>F824-F823</f>
        <v/>
      </c>
      <c r="H824" s="10">
        <f>IF(F823=0,0,G824/F823)</f>
        <v/>
      </c>
      <c r="I824" s="8">
        <f>D824-E824</f>
        <v/>
      </c>
      <c r="J824" s="4">
        <f>IF(F824&gt;C824,"Up",IF(F824&lt;C824,"Down","Flat"))</f>
        <v/>
      </c>
      <c r="K824" s="14" t="n">
        <v>35.36</v>
      </c>
      <c r="L824" s="15" t="n">
        <v>56.15</v>
      </c>
      <c r="M824" s="14" t="n">
        <v>2659</v>
      </c>
      <c r="N824" s="14" t="n">
        <v>2656.68</v>
      </c>
      <c r="O824" s="14" t="n">
        <v>2504.29</v>
      </c>
      <c r="P824" s="4">
        <f>IF(O824="","",IF(F824&gt;O824,"Above","Below"))</f>
        <v/>
      </c>
      <c r="Q824" s="16" t="n">
        <v>156645</v>
      </c>
      <c r="R824" s="17" t="n">
        <v>0</v>
      </c>
      <c r="S824" s="17" t="n">
        <v>0</v>
      </c>
      <c r="T824" s="17" t="n">
        <v>0</v>
      </c>
      <c r="U824" s="18" t="n">
        <v>0</v>
      </c>
    </row>
    <row r="825">
      <c r="A825" s="13" t="n">
        <v>45667</v>
      </c>
      <c r="B825" s="4">
        <f>TEXT(A825,"ddd")</f>
        <v/>
      </c>
      <c r="C825" s="14" t="n">
        <v>2692.9</v>
      </c>
      <c r="D825" s="14" t="n">
        <v>2735</v>
      </c>
      <c r="E825" s="14" t="n">
        <v>2686.9</v>
      </c>
      <c r="F825" s="14" t="n">
        <v>2715</v>
      </c>
      <c r="G825" s="9">
        <f>F825-F824</f>
        <v/>
      </c>
      <c r="H825" s="10">
        <f>IF(F824=0,0,G825/F824)</f>
        <v/>
      </c>
      <c r="I825" s="8">
        <f>D825-E825</f>
        <v/>
      </c>
      <c r="J825" s="4">
        <f>IF(F825&gt;C825,"Up",IF(F825&lt;C825,"Down","Flat"))</f>
        <v/>
      </c>
      <c r="K825" s="14" t="n">
        <v>36.27</v>
      </c>
      <c r="L825" s="15" t="n">
        <v>59.96</v>
      </c>
      <c r="M825" s="14" t="n">
        <v>2664.33</v>
      </c>
      <c r="N825" s="14" t="n">
        <v>2658.97</v>
      </c>
      <c r="O825" s="14" t="n">
        <v>2506.39</v>
      </c>
      <c r="P825" s="4">
        <f>IF(O825="","",IF(F825&gt;O825,"Above","Below"))</f>
        <v/>
      </c>
      <c r="Q825" s="16" t="n">
        <v>298408</v>
      </c>
      <c r="R825" s="17" t="n">
        <v>0</v>
      </c>
      <c r="S825" s="17" t="n">
        <v>0</v>
      </c>
      <c r="T825" s="17" t="n">
        <v>0</v>
      </c>
      <c r="U825" s="18" t="n">
        <v>0</v>
      </c>
    </row>
    <row r="826">
      <c r="A826" s="13" t="n">
        <v>45670</v>
      </c>
      <c r="B826" s="4">
        <f>TEXT(A826,"ddd")</f>
        <v/>
      </c>
      <c r="C826" s="14" t="n">
        <v>2716.8</v>
      </c>
      <c r="D826" s="14" t="n">
        <v>2723.8</v>
      </c>
      <c r="E826" s="14" t="n">
        <v>2675.2</v>
      </c>
      <c r="F826" s="14" t="n">
        <v>2678.6</v>
      </c>
      <c r="G826" s="9">
        <f>F826-F825</f>
        <v/>
      </c>
      <c r="H826" s="10">
        <f>IF(F825=0,0,G826/F825)</f>
        <v/>
      </c>
      <c r="I826" s="8">
        <f>D826-E826</f>
        <v/>
      </c>
      <c r="J826" s="4">
        <f>IF(F826&gt;C826,"Up",IF(F826&lt;C826,"Down","Flat"))</f>
        <v/>
      </c>
      <c r="K826" s="14" t="n">
        <v>37.15</v>
      </c>
      <c r="L826" s="15" t="n">
        <v>52.56</v>
      </c>
      <c r="M826" s="14" t="n">
        <v>2665.69</v>
      </c>
      <c r="N826" s="14" t="n">
        <v>2659.74</v>
      </c>
      <c r="O826" s="14" t="n">
        <v>2508.1</v>
      </c>
      <c r="P826" s="4">
        <f>IF(O826="","",IF(F826&gt;O826,"Above","Below"))</f>
        <v/>
      </c>
      <c r="Q826" s="16" t="n">
        <v>211094</v>
      </c>
      <c r="R826" s="17" t="n">
        <v>0</v>
      </c>
      <c r="S826" s="17" t="n">
        <v>0</v>
      </c>
      <c r="T826" s="17" t="n">
        <v>0</v>
      </c>
      <c r="U826" s="18" t="n">
        <v>0</v>
      </c>
    </row>
    <row r="827">
      <c r="A827" s="13" t="n">
        <v>45671</v>
      </c>
      <c r="B827" s="4">
        <f>TEXT(A827,"ddd")</f>
        <v/>
      </c>
      <c r="C827" s="14" t="n">
        <v>2682</v>
      </c>
      <c r="D827" s="14" t="n">
        <v>2693.7</v>
      </c>
      <c r="E827" s="14" t="n">
        <v>2672</v>
      </c>
      <c r="F827" s="14" t="n">
        <v>2682.3</v>
      </c>
      <c r="G827" s="9">
        <f>F827-F826</f>
        <v/>
      </c>
      <c r="H827" s="10">
        <f>IF(F826=0,0,G827/F826)</f>
        <v/>
      </c>
      <c r="I827" s="8">
        <f>D827-E827</f>
        <v/>
      </c>
      <c r="J827" s="4">
        <f>IF(F827&gt;C827,"Up",IF(F827&lt;C827,"Down","Flat"))</f>
        <v/>
      </c>
      <c r="K827" s="14" t="n">
        <v>36.04</v>
      </c>
      <c r="L827" s="15" t="n">
        <v>53.19</v>
      </c>
      <c r="M827" s="14" t="n">
        <v>2667.27</v>
      </c>
      <c r="N827" s="14" t="n">
        <v>2660.62</v>
      </c>
      <c r="O827" s="14" t="n">
        <v>2509.83</v>
      </c>
      <c r="P827" s="4">
        <f>IF(O827="","",IF(F827&gt;O827,"Above","Below"))</f>
        <v/>
      </c>
      <c r="Q827" s="16" t="n">
        <v>179414</v>
      </c>
      <c r="R827" s="17" t="n">
        <v>0</v>
      </c>
      <c r="S827" s="17" t="n">
        <v>0</v>
      </c>
      <c r="T827" s="17" t="n">
        <v>0</v>
      </c>
      <c r="U827" s="18" t="n">
        <v>0</v>
      </c>
    </row>
    <row r="828">
      <c r="A828" s="13" t="n">
        <v>45672</v>
      </c>
      <c r="B828" s="4">
        <f>TEXT(A828,"ddd")</f>
        <v/>
      </c>
      <c r="C828" s="14" t="n">
        <v>2693.3</v>
      </c>
      <c r="D828" s="14" t="n">
        <v>2722.7</v>
      </c>
      <c r="E828" s="14" t="n">
        <v>2685.4</v>
      </c>
      <c r="F828" s="14" t="n">
        <v>2717.8</v>
      </c>
      <c r="G828" s="9">
        <f>F828-F827</f>
        <v/>
      </c>
      <c r="H828" s="10">
        <f>IF(F827=0,0,G828/F827)</f>
        <v/>
      </c>
      <c r="I828" s="8">
        <f>D828-E828</f>
        <v/>
      </c>
      <c r="J828" s="4">
        <f>IF(F828&gt;C828,"Up",IF(F828&lt;C828,"Down","Flat"))</f>
        <v/>
      </c>
      <c r="K828" s="14" t="n">
        <v>36.36</v>
      </c>
      <c r="L828" s="15" t="n">
        <v>58.86</v>
      </c>
      <c r="M828" s="14" t="n">
        <v>2672.08</v>
      </c>
      <c r="N828" s="14" t="n">
        <v>2662.87</v>
      </c>
      <c r="O828" s="14" t="n">
        <v>2511.9</v>
      </c>
      <c r="P828" s="4">
        <f>IF(O828="","",IF(F828&gt;O828,"Above","Below"))</f>
        <v/>
      </c>
      <c r="Q828" s="16" t="n">
        <v>193720</v>
      </c>
      <c r="R828" s="17" t="n">
        <v>0</v>
      </c>
      <c r="S828" s="17" t="n">
        <v>0</v>
      </c>
      <c r="T828" s="17" t="n">
        <v>0</v>
      </c>
      <c r="U828" s="18" t="n">
        <v>0</v>
      </c>
    </row>
    <row r="829">
      <c r="A829" s="13" t="n">
        <v>45673</v>
      </c>
      <c r="B829" s="4">
        <f>TEXT(A829,"ddd")</f>
        <v/>
      </c>
      <c r="C829" s="14" t="n">
        <v>2722.3</v>
      </c>
      <c r="D829" s="14" t="n">
        <v>2757.9</v>
      </c>
      <c r="E829" s="14" t="n">
        <v>2720.4</v>
      </c>
      <c r="F829" s="14" t="n">
        <v>2750.9</v>
      </c>
      <c r="G829" s="9">
        <f>F829-F828</f>
        <v/>
      </c>
      <c r="H829" s="10">
        <f>IF(F828=0,0,G829/F828)</f>
        <v/>
      </c>
      <c r="I829" s="8">
        <f>D829-E829</f>
        <v/>
      </c>
      <c r="J829" s="4">
        <f>IF(F829&gt;C829,"Up",IF(F829&lt;C829,"Down","Flat"))</f>
        <v/>
      </c>
      <c r="K829" s="14" t="n">
        <v>36.62</v>
      </c>
      <c r="L829" s="15" t="n">
        <v>63.32</v>
      </c>
      <c r="M829" s="14" t="n">
        <v>2679.59</v>
      </c>
      <c r="N829" s="14" t="n">
        <v>2666.32</v>
      </c>
      <c r="O829" s="14" t="n">
        <v>2514.28</v>
      </c>
      <c r="P829" s="4">
        <f>IF(O829="","",IF(F829&gt;O829,"Above","Below"))</f>
        <v/>
      </c>
      <c r="Q829" s="16" t="n">
        <v>186543</v>
      </c>
      <c r="R829" s="17" t="n">
        <v>0</v>
      </c>
      <c r="S829" s="17" t="n">
        <v>0</v>
      </c>
      <c r="T829" s="17" t="n">
        <v>0</v>
      </c>
      <c r="U829" s="18" t="n">
        <v>0</v>
      </c>
    </row>
    <row r="830">
      <c r="A830" s="13" t="n">
        <v>45674</v>
      </c>
      <c r="B830" s="4">
        <f>TEXT(A830,"ddd")</f>
        <v/>
      </c>
      <c r="C830" s="14" t="n">
        <v>2746.8</v>
      </c>
      <c r="D830" s="14" t="n">
        <v>2759.2</v>
      </c>
      <c r="E830" s="14" t="n">
        <v>2729.2</v>
      </c>
      <c r="F830" s="14" t="n">
        <v>2748.7</v>
      </c>
      <c r="G830" s="9">
        <f>F830-F829</f>
        <v/>
      </c>
      <c r="H830" s="10">
        <f>IF(F829=0,0,G830/F829)</f>
        <v/>
      </c>
      <c r="I830" s="8">
        <f>D830-E830</f>
        <v/>
      </c>
      <c r="J830" s="4">
        <f>IF(F830&gt;C830,"Up",IF(F830&lt;C830,"Down","Flat"))</f>
        <v/>
      </c>
      <c r="K830" s="14" t="n">
        <v>36.15</v>
      </c>
      <c r="L830" s="15" t="n">
        <v>62.83</v>
      </c>
      <c r="M830" s="14" t="n">
        <v>2686.17</v>
      </c>
      <c r="N830" s="14" t="n">
        <v>2669.55</v>
      </c>
      <c r="O830" s="14" t="n">
        <v>2516.61</v>
      </c>
      <c r="P830" s="4">
        <f>IF(O830="","",IF(F830&gt;O830,"Above","Below"))</f>
        <v/>
      </c>
      <c r="Q830" s="16" t="n">
        <v>156868</v>
      </c>
      <c r="R830" s="17" t="n">
        <v>0</v>
      </c>
      <c r="S830" s="17" t="n">
        <v>0</v>
      </c>
      <c r="T830" s="17" t="n">
        <v>0</v>
      </c>
      <c r="U830" s="18" t="n">
        <v>0</v>
      </c>
    </row>
    <row r="831">
      <c r="A831" s="13" t="n">
        <v>45678</v>
      </c>
      <c r="B831" s="4">
        <f>TEXT(A831,"ddd")</f>
        <v/>
      </c>
      <c r="C831" s="14" t="n">
        <v>2739.6</v>
      </c>
      <c r="D831" s="14" t="n">
        <v>2762</v>
      </c>
      <c r="E831" s="14" t="n">
        <v>2715.6</v>
      </c>
      <c r="F831" s="14" t="n">
        <v>2759.2</v>
      </c>
      <c r="G831" s="9">
        <f>F831-F830</f>
        <v/>
      </c>
      <c r="H831" s="10">
        <f>IF(F830=0,0,G831/F830)</f>
        <v/>
      </c>
      <c r="I831" s="8">
        <f>D831-E831</f>
        <v/>
      </c>
      <c r="J831" s="4">
        <f>IF(F831&gt;C831,"Up",IF(F831&lt;C831,"Down","Flat"))</f>
        <v/>
      </c>
      <c r="K831" s="14" t="n">
        <v>36.88</v>
      </c>
      <c r="L831" s="15" t="n">
        <v>64.23999999999999</v>
      </c>
      <c r="M831" s="14" t="n">
        <v>2693.13</v>
      </c>
      <c r="N831" s="14" t="n">
        <v>2673.06</v>
      </c>
      <c r="O831" s="14" t="n">
        <v>2519.03</v>
      </c>
      <c r="P831" s="4">
        <f>IF(O831="","",IF(F831&gt;O831,"Above","Below"))</f>
        <v/>
      </c>
      <c r="Q831" s="16" t="n">
        <v>294121</v>
      </c>
      <c r="R831" s="17" t="n">
        <v>0</v>
      </c>
      <c r="S831" s="17" t="n">
        <v>0</v>
      </c>
      <c r="T831" s="17" t="n">
        <v>0</v>
      </c>
      <c r="U831" s="18" t="n">
        <v>0</v>
      </c>
    </row>
    <row r="832">
      <c r="A832" s="13" t="n">
        <v>45679</v>
      </c>
      <c r="B832" s="4">
        <f>TEXT(A832,"ddd")</f>
        <v/>
      </c>
      <c r="C832" s="14" t="n">
        <v>2758.7</v>
      </c>
      <c r="D832" s="14" t="n">
        <v>2774.4</v>
      </c>
      <c r="E832" s="14" t="n">
        <v>2756.2</v>
      </c>
      <c r="F832" s="14" t="n">
        <v>2770.9</v>
      </c>
      <c r="G832" s="9">
        <f>F832-F831</f>
        <v/>
      </c>
      <c r="H832" s="10">
        <f>IF(F831=0,0,G832/F831)</f>
        <v/>
      </c>
      <c r="I832" s="8">
        <f>D832-E832</f>
        <v/>
      </c>
      <c r="J832" s="4">
        <f>IF(F832&gt;C832,"Up",IF(F832&lt;C832,"Down","Flat"))</f>
        <v/>
      </c>
      <c r="K832" s="14" t="n">
        <v>35.55</v>
      </c>
      <c r="L832" s="15" t="n">
        <v>65.8</v>
      </c>
      <c r="M832" s="14" t="n">
        <v>2700.53</v>
      </c>
      <c r="N832" s="14" t="n">
        <v>2676.9</v>
      </c>
      <c r="O832" s="14" t="n">
        <v>2521.53</v>
      </c>
      <c r="P832" s="4">
        <f>IF(O832="","",IF(F832&gt;O832,"Above","Below"))</f>
        <v/>
      </c>
      <c r="Q832" s="16" t="n">
        <v>158141</v>
      </c>
      <c r="R832" s="17" t="n">
        <v>0</v>
      </c>
      <c r="S832" s="17" t="n">
        <v>0</v>
      </c>
      <c r="T832" s="17" t="n">
        <v>0</v>
      </c>
      <c r="U832" s="18" t="n">
        <v>0</v>
      </c>
    </row>
    <row r="833">
      <c r="A833" s="13" t="n">
        <v>45680</v>
      </c>
      <c r="B833" s="4">
        <f>TEXT(A833,"ddd")</f>
        <v/>
      </c>
      <c r="C833" s="14" t="n">
        <v>2765.9</v>
      </c>
      <c r="D833" s="14" t="n">
        <v>2767.1</v>
      </c>
      <c r="E833" s="14" t="n">
        <v>2741</v>
      </c>
      <c r="F833" s="14" t="n">
        <v>2765</v>
      </c>
      <c r="G833" s="9">
        <f>F833-F832</f>
        <v/>
      </c>
      <c r="H833" s="10">
        <f>IF(F832=0,0,G833/F832)</f>
        <v/>
      </c>
      <c r="I833" s="8">
        <f>D833-E833</f>
        <v/>
      </c>
      <c r="J833" s="4">
        <f>IF(F833&gt;C833,"Up",IF(F833&lt;C833,"Down","Flat"))</f>
        <v/>
      </c>
      <c r="K833" s="14" t="n">
        <v>35.14</v>
      </c>
      <c r="L833" s="15" t="n">
        <v>64.28</v>
      </c>
      <c r="M833" s="14" t="n">
        <v>2706.67</v>
      </c>
      <c r="N833" s="14" t="n">
        <v>2680.36</v>
      </c>
      <c r="O833" s="14" t="n">
        <v>2523.96</v>
      </c>
      <c r="P833" s="4">
        <f>IF(O833="","",IF(F833&gt;O833,"Above","Below"))</f>
        <v/>
      </c>
      <c r="Q833" s="16" t="n">
        <v>194742</v>
      </c>
      <c r="R833" s="17" t="n">
        <v>0</v>
      </c>
      <c r="S833" s="17" t="n">
        <v>0</v>
      </c>
      <c r="T833" s="17" t="n">
        <v>0</v>
      </c>
      <c r="U833" s="18" t="n">
        <v>0</v>
      </c>
    </row>
    <row r="834">
      <c r="A834" s="13" t="n">
        <v>45681</v>
      </c>
      <c r="B834" s="4">
        <f>TEXT(A834,"ddd")</f>
        <v/>
      </c>
      <c r="C834" s="14" t="n">
        <v>2761.8</v>
      </c>
      <c r="D834" s="14" t="n">
        <v>2794.8</v>
      </c>
      <c r="E834" s="14" t="n">
        <v>2761</v>
      </c>
      <c r="F834" s="14" t="n">
        <v>2778.9</v>
      </c>
      <c r="G834" s="9">
        <f>F834-F833</f>
        <v/>
      </c>
      <c r="H834" s="10">
        <f>IF(F833=0,0,G834/F833)</f>
        <v/>
      </c>
      <c r="I834" s="8">
        <f>D834-E834</f>
        <v/>
      </c>
      <c r="J834" s="4">
        <f>IF(F834&gt;C834,"Up",IF(F834&lt;C834,"Down","Flat"))</f>
        <v/>
      </c>
      <c r="K834" s="14" t="n">
        <v>35.05</v>
      </c>
      <c r="L834" s="15" t="n">
        <v>66.26000000000001</v>
      </c>
      <c r="M834" s="14" t="n">
        <v>2713.55</v>
      </c>
      <c r="N834" s="14" t="n">
        <v>2684.22</v>
      </c>
      <c r="O834" s="14" t="n">
        <v>2526.49</v>
      </c>
      <c r="P834" s="4">
        <f>IF(O834="","",IF(F834&gt;O834,"Above","Below"))</f>
        <v/>
      </c>
      <c r="Q834" s="16" t="n">
        <v>199562</v>
      </c>
      <c r="R834" s="17" t="n">
        <v>0</v>
      </c>
      <c r="S834" s="17" t="n">
        <v>0</v>
      </c>
      <c r="T834" s="17" t="n">
        <v>0</v>
      </c>
      <c r="U834" s="18" t="n">
        <v>0</v>
      </c>
    </row>
    <row r="835">
      <c r="A835" s="13" t="n">
        <v>45684</v>
      </c>
      <c r="B835" s="4">
        <f>TEXT(A835,"ddd")</f>
        <v/>
      </c>
      <c r="C835" s="14" t="n">
        <v>2778.1</v>
      </c>
      <c r="D835" s="14" t="n">
        <v>2778.1</v>
      </c>
      <c r="E835" s="14" t="n">
        <v>2732</v>
      </c>
      <c r="F835" s="14" t="n">
        <v>2738.4</v>
      </c>
      <c r="G835" s="9">
        <f>F835-F834</f>
        <v/>
      </c>
      <c r="H835" s="10">
        <f>IF(F834=0,0,G835/F834)</f>
        <v/>
      </c>
      <c r="I835" s="8">
        <f>D835-E835</f>
        <v/>
      </c>
      <c r="J835" s="4">
        <f>IF(F835&gt;C835,"Up",IF(F835&lt;C835,"Down","Flat"))</f>
        <v/>
      </c>
      <c r="K835" s="14" t="n">
        <v>35.89</v>
      </c>
      <c r="L835" s="15" t="n">
        <v>56.43</v>
      </c>
      <c r="M835" s="14" t="n">
        <v>2715.92</v>
      </c>
      <c r="N835" s="14" t="n">
        <v>2686.34</v>
      </c>
      <c r="O835" s="14" t="n">
        <v>2528.6</v>
      </c>
      <c r="P835" s="4">
        <f>IF(O835="","",IF(F835&gt;O835,"Above","Below"))</f>
        <v/>
      </c>
      <c r="Q835" s="16" t="n">
        <v>215514</v>
      </c>
      <c r="R835" s="17" t="n">
        <v>0</v>
      </c>
      <c r="S835" s="17" t="n">
        <v>0</v>
      </c>
      <c r="T835" s="17" t="n">
        <v>0</v>
      </c>
      <c r="U835" s="18" t="n">
        <v>0</v>
      </c>
    </row>
    <row r="836">
      <c r="A836" s="13" t="n">
        <v>45685</v>
      </c>
      <c r="B836" s="4">
        <f>TEXT(A836,"ddd")</f>
        <v/>
      </c>
      <c r="C836" s="14" t="n">
        <v>2742.4</v>
      </c>
      <c r="D836" s="14" t="n">
        <v>2774</v>
      </c>
      <c r="E836" s="14" t="n">
        <v>2737.4</v>
      </c>
      <c r="F836" s="14" t="n">
        <v>2767.5</v>
      </c>
      <c r="G836" s="9">
        <f>F836-F835</f>
        <v/>
      </c>
      <c r="H836" s="10">
        <f>IF(F835=0,0,G836/F835)</f>
        <v/>
      </c>
      <c r="I836" s="8">
        <f>D836-E836</f>
        <v/>
      </c>
      <c r="J836" s="4">
        <f>IF(F836&gt;C836,"Up",IF(F836&lt;C836,"Down","Flat"))</f>
        <v/>
      </c>
      <c r="K836" s="14" t="n">
        <v>35.95</v>
      </c>
      <c r="L836" s="15" t="n">
        <v>60.92</v>
      </c>
      <c r="M836" s="14" t="n">
        <v>2720.83</v>
      </c>
      <c r="N836" s="14" t="n">
        <v>2689.53</v>
      </c>
      <c r="O836" s="14" t="n">
        <v>2530.98</v>
      </c>
      <c r="P836" s="4">
        <f>IF(O836="","",IF(F836&gt;O836,"Above","Below"))</f>
        <v/>
      </c>
      <c r="Q836" s="16" t="n">
        <v>171359</v>
      </c>
      <c r="R836" s="17" t="n">
        <v>0</v>
      </c>
      <c r="S836" s="17" t="n">
        <v>0</v>
      </c>
      <c r="T836" s="17" t="n">
        <v>0</v>
      </c>
      <c r="U836" s="18" t="n">
        <v>0</v>
      </c>
    </row>
    <row r="837">
      <c r="A837" s="13" t="n">
        <v>45686</v>
      </c>
      <c r="B837" s="4">
        <f>TEXT(A837,"ddd")</f>
        <v/>
      </c>
      <c r="C837" s="14" t="n">
        <v>2771.6</v>
      </c>
      <c r="D837" s="14" t="n">
        <v>2778.1</v>
      </c>
      <c r="E837" s="14" t="n">
        <v>2761</v>
      </c>
      <c r="F837" s="14" t="n">
        <v>2769.8</v>
      </c>
      <c r="G837" s="9">
        <f>F837-F836</f>
        <v/>
      </c>
      <c r="H837" s="10">
        <f>IF(F836=0,0,G837/F836)</f>
        <v/>
      </c>
      <c r="I837" s="8">
        <f>D837-E837</f>
        <v/>
      </c>
      <c r="J837" s="4">
        <f>IF(F837&gt;C837,"Up",IF(F837&lt;C837,"Down","Flat"))</f>
        <v/>
      </c>
      <c r="K837" s="14" t="n">
        <v>34.6</v>
      </c>
      <c r="L837" s="15" t="n">
        <v>61.26</v>
      </c>
      <c r="M837" s="14" t="n">
        <v>2725.5</v>
      </c>
      <c r="N837" s="14" t="n">
        <v>2692.68</v>
      </c>
      <c r="O837" s="14" t="n">
        <v>2533.35</v>
      </c>
      <c r="P837" s="4">
        <f>IF(O837="","",IF(F837&gt;O837,"Above","Below"))</f>
        <v/>
      </c>
      <c r="Q837" s="16" t="n">
        <v>125692</v>
      </c>
      <c r="R837" s="17" t="n">
        <v>0</v>
      </c>
      <c r="S837" s="17" t="n">
        <v>0</v>
      </c>
      <c r="T837" s="17" t="n">
        <v>0</v>
      </c>
      <c r="U837" s="18" t="n">
        <v>0</v>
      </c>
    </row>
    <row r="838">
      <c r="A838" s="13" t="n">
        <v>45687</v>
      </c>
      <c r="B838" s="4">
        <f>TEXT(A838,"ddd")</f>
        <v/>
      </c>
      <c r="C838" s="14" t="n">
        <v>2772.5</v>
      </c>
      <c r="D838" s="14" t="n">
        <v>2829.5</v>
      </c>
      <c r="E838" s="14" t="n">
        <v>2770</v>
      </c>
      <c r="F838" s="14" t="n">
        <v>2823</v>
      </c>
      <c r="G838" s="9">
        <f>F838-F837</f>
        <v/>
      </c>
      <c r="H838" s="10">
        <f>IF(F837=0,0,G838/F837)</f>
        <v/>
      </c>
      <c r="I838" s="8">
        <f>D838-E838</f>
        <v/>
      </c>
      <c r="J838" s="4">
        <f>IF(F838&gt;C838,"Up",IF(F838&lt;C838,"Down","Flat"))</f>
        <v/>
      </c>
      <c r="K838" s="14" t="n">
        <v>36.39</v>
      </c>
      <c r="L838" s="15" t="n">
        <v>68.15000000000001</v>
      </c>
      <c r="M838" s="14" t="n">
        <v>2734.78</v>
      </c>
      <c r="N838" s="14" t="n">
        <v>2697.79</v>
      </c>
      <c r="O838" s="14" t="n">
        <v>2536.24</v>
      </c>
      <c r="P838" s="4">
        <f>IF(O838="","",IF(F838&gt;O838,"Above","Below"))</f>
        <v/>
      </c>
      <c r="Q838" s="16" t="n">
        <v>40141</v>
      </c>
      <c r="R838" s="17" t="n">
        <v>0</v>
      </c>
      <c r="S838" s="17" t="n">
        <v>0</v>
      </c>
      <c r="T838" s="17" t="n">
        <v>0</v>
      </c>
      <c r="U838" s="18" t="n">
        <v>0</v>
      </c>
    </row>
    <row r="839">
      <c r="A839" s="13" t="n">
        <v>45688</v>
      </c>
      <c r="B839" s="4">
        <f>TEXT(A839,"ddd")</f>
        <v/>
      </c>
      <c r="C839" s="14" t="n">
        <v>2829</v>
      </c>
      <c r="D839" s="14" t="n">
        <v>2838</v>
      </c>
      <c r="E839" s="14" t="n">
        <v>2804</v>
      </c>
      <c r="F839" s="14" t="n">
        <v>2812.5</v>
      </c>
      <c r="G839" s="9">
        <f>F839-F838</f>
        <v/>
      </c>
      <c r="H839" s="10">
        <f>IF(F838=0,0,G839/F838)</f>
        <v/>
      </c>
      <c r="I839" s="8">
        <f>D839-E839</f>
        <v/>
      </c>
      <c r="J839" s="4">
        <f>IF(F839&gt;C839,"Up",IF(F839&lt;C839,"Down","Flat"))</f>
        <v/>
      </c>
      <c r="K839" s="14" t="n">
        <v>36.22</v>
      </c>
      <c r="L839" s="15" t="n">
        <v>65.67</v>
      </c>
      <c r="M839" s="14" t="n">
        <v>2742.18</v>
      </c>
      <c r="N839" s="14" t="n">
        <v>2702.28</v>
      </c>
      <c r="O839" s="14" t="n">
        <v>2538.99</v>
      </c>
      <c r="P839" s="4">
        <f>IF(O839="","",IF(F839&gt;O839,"Above","Below"))</f>
        <v/>
      </c>
      <c r="Q839" s="16" t="n">
        <v>165676</v>
      </c>
      <c r="R839" s="17" t="n">
        <v>0</v>
      </c>
      <c r="S839" s="17" t="n">
        <v>0</v>
      </c>
      <c r="T839" s="17" t="n">
        <v>0</v>
      </c>
      <c r="U839" s="18" t="n">
        <v>0</v>
      </c>
    </row>
    <row r="840">
      <c r="A840" s="13" t="n">
        <v>45691</v>
      </c>
      <c r="B840" s="4">
        <f>TEXT(A840,"ddd")</f>
        <v/>
      </c>
      <c r="C840" s="14" t="n">
        <v>2846.5</v>
      </c>
      <c r="D840" s="14" t="n">
        <v>2872</v>
      </c>
      <c r="E840" s="14" t="n">
        <v>2802.2</v>
      </c>
      <c r="F840" s="14" t="n">
        <v>2857.1</v>
      </c>
      <c r="G840" s="9">
        <f>F840-F839</f>
        <v/>
      </c>
      <c r="H840" s="10">
        <f>IF(F839=0,0,G840/F839)</f>
        <v/>
      </c>
      <c r="I840" s="8">
        <f>D840-E840</f>
        <v/>
      </c>
      <c r="J840" s="4">
        <f>IF(F840&gt;C840,"Up",IF(F840&lt;C840,"Down","Flat"))</f>
        <v/>
      </c>
      <c r="K840" s="14" t="n">
        <v>38.62</v>
      </c>
      <c r="L840" s="15" t="n">
        <v>70.56999999999999</v>
      </c>
      <c r="M840" s="14" t="n">
        <v>2753.13</v>
      </c>
      <c r="N840" s="14" t="n">
        <v>2708.36</v>
      </c>
      <c r="O840" s="14" t="n">
        <v>2542.15</v>
      </c>
      <c r="P840" s="4">
        <f>IF(O840="","",IF(F840&gt;O840,"Above","Below"))</f>
        <v/>
      </c>
      <c r="Q840" s="16" t="n">
        <v>181344</v>
      </c>
      <c r="R840" s="17" t="n">
        <v>0</v>
      </c>
      <c r="S840" s="17" t="n">
        <v>0</v>
      </c>
      <c r="T840" s="17" t="n">
        <v>0</v>
      </c>
      <c r="U840" s="18" t="n">
        <v>0</v>
      </c>
    </row>
    <row r="841">
      <c r="A841" s="13" t="n">
        <v>45692</v>
      </c>
      <c r="B841" s="4">
        <f>TEXT(A841,"ddd")</f>
        <v/>
      </c>
      <c r="C841" s="14" t="n">
        <v>2850.4</v>
      </c>
      <c r="D841" s="14" t="n">
        <v>2877.1</v>
      </c>
      <c r="E841" s="14" t="n">
        <v>2837.4</v>
      </c>
      <c r="F841" s="14" t="n">
        <v>2875.8</v>
      </c>
      <c r="G841" s="9">
        <f>F841-F840</f>
        <v/>
      </c>
      <c r="H841" s="10">
        <f>IF(F840=0,0,G841/F840)</f>
        <v/>
      </c>
      <c r="I841" s="8">
        <f>D841-E841</f>
        <v/>
      </c>
      <c r="J841" s="4">
        <f>IF(F841&gt;C841,"Up",IF(F841&lt;C841,"Down","Flat"))</f>
        <v/>
      </c>
      <c r="K841" s="14" t="n">
        <v>38.7</v>
      </c>
      <c r="L841" s="15" t="n">
        <v>72.36</v>
      </c>
      <c r="M841" s="14" t="n">
        <v>2764.81</v>
      </c>
      <c r="N841" s="14" t="n">
        <v>2714.92</v>
      </c>
      <c r="O841" s="14" t="n">
        <v>2545.47</v>
      </c>
      <c r="P841" s="4">
        <f>IF(O841="","",IF(F841&gt;O841,"Above","Below"))</f>
        <v/>
      </c>
      <c r="Q841" s="16" t="n">
        <v>145862</v>
      </c>
      <c r="R841" s="17" t="n">
        <v>0</v>
      </c>
      <c r="S841" s="17" t="n">
        <v>0</v>
      </c>
      <c r="T841" s="17" t="n">
        <v>0</v>
      </c>
      <c r="U841" s="18" t="n">
        <v>0</v>
      </c>
    </row>
    <row r="842">
      <c r="A842" s="13" t="n">
        <v>45693</v>
      </c>
      <c r="B842" s="4">
        <f>TEXT(A842,"ddd")</f>
        <v/>
      </c>
      <c r="C842" s="14" t="n">
        <v>2873.7</v>
      </c>
      <c r="D842" s="14" t="n">
        <v>2906</v>
      </c>
      <c r="E842" s="14" t="n">
        <v>2870.1</v>
      </c>
      <c r="F842" s="14" t="n">
        <v>2893</v>
      </c>
      <c r="G842" s="9">
        <f>F842-F841</f>
        <v/>
      </c>
      <c r="H842" s="10">
        <f>IF(F841=0,0,G842/F841)</f>
        <v/>
      </c>
      <c r="I842" s="8">
        <f>D842-E842</f>
        <v/>
      </c>
      <c r="J842" s="4">
        <f>IF(F842&gt;C842,"Up",IF(F842&lt;C842,"Down","Flat"))</f>
        <v/>
      </c>
      <c r="K842" s="14" t="n">
        <v>38.5</v>
      </c>
      <c r="L842" s="15" t="n">
        <v>73.92</v>
      </c>
      <c r="M842" s="14" t="n">
        <v>2777.02</v>
      </c>
      <c r="N842" s="14" t="n">
        <v>2721.91</v>
      </c>
      <c r="O842" s="14" t="n">
        <v>2548.93</v>
      </c>
      <c r="P842" s="4">
        <f>IF(O842="","",IF(F842&gt;O842,"Above","Below"))</f>
        <v/>
      </c>
      <c r="Q842" s="16" t="n">
        <v>167383</v>
      </c>
      <c r="R842" s="17" t="n">
        <v>0</v>
      </c>
      <c r="S842" s="17" t="n">
        <v>0</v>
      </c>
      <c r="T842" s="17" t="n">
        <v>0</v>
      </c>
      <c r="U842" s="18" t="n">
        <v>0</v>
      </c>
    </row>
    <row r="843">
      <c r="A843" s="13" t="n">
        <v>45694</v>
      </c>
      <c r="B843" s="4">
        <f>TEXT(A843,"ddd")</f>
        <v/>
      </c>
      <c r="C843" s="14" t="n">
        <v>2885</v>
      </c>
      <c r="D843" s="14" t="n">
        <v>2894.2</v>
      </c>
      <c r="E843" s="14" t="n">
        <v>2855</v>
      </c>
      <c r="F843" s="14" t="n">
        <v>2876.7</v>
      </c>
      <c r="G843" s="9">
        <f>F843-F842</f>
        <v/>
      </c>
      <c r="H843" s="10">
        <f>IF(F842=0,0,G843/F842)</f>
        <v/>
      </c>
      <c r="I843" s="8">
        <f>D843-E843</f>
        <v/>
      </c>
      <c r="J843" s="4">
        <f>IF(F843&gt;C843,"Up",IF(F843&lt;C843,"Down","Flat"))</f>
        <v/>
      </c>
      <c r="K843" s="14" t="n">
        <v>38.55</v>
      </c>
      <c r="L843" s="15" t="n">
        <v>69.88</v>
      </c>
      <c r="M843" s="14" t="n">
        <v>2786.51</v>
      </c>
      <c r="N843" s="14" t="n">
        <v>2727.98</v>
      </c>
      <c r="O843" s="14" t="n">
        <v>2552.19</v>
      </c>
      <c r="P843" s="4">
        <f>IF(O843="","",IF(F843&gt;O843,"Above","Below"))</f>
        <v/>
      </c>
      <c r="Q843" s="16" t="n">
        <v>167701</v>
      </c>
      <c r="R843" s="17" t="n">
        <v>0</v>
      </c>
      <c r="S843" s="17" t="n">
        <v>0</v>
      </c>
      <c r="T843" s="17" t="n">
        <v>0</v>
      </c>
      <c r="U843" s="18" t="n">
        <v>0</v>
      </c>
    </row>
    <row r="844">
      <c r="A844" s="13" t="n">
        <v>45695</v>
      </c>
      <c r="B844" s="4">
        <f>TEXT(A844,"ddd")</f>
        <v/>
      </c>
      <c r="C844" s="14" t="n">
        <v>2880.2</v>
      </c>
      <c r="D844" s="14" t="n">
        <v>2910.6</v>
      </c>
      <c r="E844" s="14" t="n">
        <v>2876.1</v>
      </c>
      <c r="F844" s="14" t="n">
        <v>2887.6</v>
      </c>
      <c r="G844" s="9">
        <f>F844-F843</f>
        <v/>
      </c>
      <c r="H844" s="10">
        <f>IF(F843=0,0,G844/F843)</f>
        <v/>
      </c>
      <c r="I844" s="8">
        <f>D844-E844</f>
        <v/>
      </c>
      <c r="J844" s="4">
        <f>IF(F844&gt;C844,"Up",IF(F844&lt;C844,"Down","Flat"))</f>
        <v/>
      </c>
      <c r="K844" s="14" t="n">
        <v>38.26</v>
      </c>
      <c r="L844" s="15" t="n">
        <v>71.02</v>
      </c>
      <c r="M844" s="14" t="n">
        <v>2796.14</v>
      </c>
      <c r="N844" s="14" t="n">
        <v>2734.24</v>
      </c>
      <c r="O844" s="14" t="n">
        <v>2555.53</v>
      </c>
      <c r="P844" s="4">
        <f>IF(O844="","",IF(F844&gt;O844,"Above","Below"))</f>
        <v/>
      </c>
      <c r="Q844" s="16" t="n">
        <v>192551</v>
      </c>
      <c r="R844" s="17" t="n">
        <v>0</v>
      </c>
      <c r="S844" s="17" t="n">
        <v>0</v>
      </c>
      <c r="T844" s="17" t="n">
        <v>0</v>
      </c>
      <c r="U844" s="18" t="n">
        <v>0</v>
      </c>
    </row>
    <row r="845">
      <c r="A845" s="13" t="n">
        <v>45698</v>
      </c>
      <c r="B845" s="4">
        <f>TEXT(A845,"ddd")</f>
        <v/>
      </c>
      <c r="C845" s="14" t="n">
        <v>2884.8</v>
      </c>
      <c r="D845" s="14" t="n">
        <v>2938.1</v>
      </c>
      <c r="E845" s="14" t="n">
        <v>2879.9</v>
      </c>
      <c r="F845" s="14" t="n">
        <v>2934.4</v>
      </c>
      <c r="G845" s="9">
        <f>F845-F844</f>
        <v/>
      </c>
      <c r="H845" s="10">
        <f>IF(F844=0,0,G845/F844)</f>
        <v/>
      </c>
      <c r="I845" s="8">
        <f>D845-E845</f>
        <v/>
      </c>
      <c r="J845" s="4">
        <f>IF(F845&gt;C845,"Up",IF(F845&lt;C845,"Down","Flat"))</f>
        <v/>
      </c>
      <c r="K845" s="14" t="n">
        <v>39.68</v>
      </c>
      <c r="L845" s="15" t="n">
        <v>75.34</v>
      </c>
      <c r="M845" s="14" t="n">
        <v>2809.31</v>
      </c>
      <c r="N845" s="14" t="n">
        <v>2742.09</v>
      </c>
      <c r="O845" s="14" t="n">
        <v>2559.3</v>
      </c>
      <c r="P845" s="4">
        <f>IF(O845="","",IF(F845&gt;O845,"Above","Below"))</f>
        <v/>
      </c>
      <c r="Q845" s="16" t="n">
        <v>167232</v>
      </c>
      <c r="R845" s="17" t="n">
        <v>0</v>
      </c>
      <c r="S845" s="17" t="n">
        <v>0</v>
      </c>
      <c r="T845" s="17" t="n">
        <v>0</v>
      </c>
      <c r="U845" s="18" t="n">
        <v>0</v>
      </c>
    </row>
    <row r="846">
      <c r="A846" s="13" t="n">
        <v>45699</v>
      </c>
      <c r="B846" s="4">
        <f>TEXT(A846,"ddd")</f>
        <v/>
      </c>
      <c r="C846" s="14" t="n">
        <v>2937</v>
      </c>
      <c r="D846" s="14" t="n">
        <v>2968.5</v>
      </c>
      <c r="E846" s="14" t="n">
        <v>2907</v>
      </c>
      <c r="F846" s="14" t="n">
        <v>2932.6</v>
      </c>
      <c r="G846" s="9">
        <f>F846-F845</f>
        <v/>
      </c>
      <c r="H846" s="10">
        <f>IF(F845=0,0,G846/F845)</f>
        <v/>
      </c>
      <c r="I846" s="8">
        <f>D846-E846</f>
        <v/>
      </c>
      <c r="J846" s="4">
        <f>IF(F846&gt;C846,"Up",IF(F846&lt;C846,"Down","Flat"))</f>
        <v/>
      </c>
      <c r="K846" s="14" t="n">
        <v>41.24</v>
      </c>
      <c r="L846" s="15" t="n">
        <v>74.88</v>
      </c>
      <c r="M846" s="14" t="n">
        <v>2821.05</v>
      </c>
      <c r="N846" s="14" t="n">
        <v>2749.56</v>
      </c>
      <c r="O846" s="14" t="n">
        <v>2563.01</v>
      </c>
      <c r="P846" s="4">
        <f>IF(O846="","",IF(F846&gt;O846,"Above","Below"))</f>
        <v/>
      </c>
      <c r="Q846" s="16" t="n">
        <v>218478</v>
      </c>
      <c r="R846" s="17" t="n">
        <v>0</v>
      </c>
      <c r="S846" s="17" t="n">
        <v>0</v>
      </c>
      <c r="T846" s="17" t="n">
        <v>0</v>
      </c>
      <c r="U846" s="18" t="n">
        <v>0</v>
      </c>
    </row>
    <row r="847">
      <c r="A847" s="13" t="n">
        <v>45700</v>
      </c>
      <c r="B847" s="4">
        <f>TEXT(A847,"ddd")</f>
        <v/>
      </c>
      <c r="C847" s="14" t="n">
        <v>2927</v>
      </c>
      <c r="D847" s="14" t="n">
        <v>2936.5</v>
      </c>
      <c r="E847" s="14" t="n">
        <v>2886.5</v>
      </c>
      <c r="F847" s="14" t="n">
        <v>2928.7</v>
      </c>
      <c r="G847" s="9">
        <f>F847-F846</f>
        <v/>
      </c>
      <c r="H847" s="10">
        <f>IF(F846=0,0,G847/F846)</f>
        <v/>
      </c>
      <c r="I847" s="8">
        <f>D847-E847</f>
        <v/>
      </c>
      <c r="J847" s="4">
        <f>IF(F847&gt;C847,"Up",IF(F847&lt;C847,"Down","Flat"))</f>
        <v/>
      </c>
      <c r="K847" s="14" t="n">
        <v>41.87</v>
      </c>
      <c r="L847" s="15" t="n">
        <v>73.81999999999999</v>
      </c>
      <c r="M847" s="14" t="n">
        <v>2831.3</v>
      </c>
      <c r="N847" s="14" t="n">
        <v>2756.58</v>
      </c>
      <c r="O847" s="14" t="n">
        <v>2566.65</v>
      </c>
      <c r="P847" s="4">
        <f>IF(O847="","",IF(F847&gt;O847,"Above","Below"))</f>
        <v/>
      </c>
      <c r="Q847" s="16" t="n">
        <v>204625</v>
      </c>
      <c r="R847" s="17" t="n">
        <v>0</v>
      </c>
      <c r="S847" s="17" t="n">
        <v>0</v>
      </c>
      <c r="T847" s="17" t="n">
        <v>0</v>
      </c>
      <c r="U847" s="18" t="n">
        <v>0</v>
      </c>
    </row>
    <row r="848">
      <c r="A848" s="13" t="n">
        <v>45701</v>
      </c>
      <c r="B848" s="4">
        <f>TEXT(A848,"ddd")</f>
        <v/>
      </c>
      <c r="C848" s="14" t="n">
        <v>2928.8</v>
      </c>
      <c r="D848" s="14" t="n">
        <v>2958.8</v>
      </c>
      <c r="E848" s="14" t="n">
        <v>2925.8</v>
      </c>
      <c r="F848" s="14" t="n">
        <v>2945.4</v>
      </c>
      <c r="G848" s="9">
        <f>F848-F847</f>
        <v/>
      </c>
      <c r="H848" s="10">
        <f>IF(F847=0,0,G848/F847)</f>
        <v/>
      </c>
      <c r="I848" s="8">
        <f>D848-E848</f>
        <v/>
      </c>
      <c r="J848" s="4">
        <f>IF(F848&gt;C848,"Up",IF(F848&lt;C848,"Down","Flat"))</f>
        <v/>
      </c>
      <c r="K848" s="14" t="n">
        <v>41.23</v>
      </c>
      <c r="L848" s="15" t="n">
        <v>75.42</v>
      </c>
      <c r="M848" s="14" t="n">
        <v>2842.17</v>
      </c>
      <c r="N848" s="14" t="n">
        <v>2763.99</v>
      </c>
      <c r="O848" s="14" t="n">
        <v>2570.42</v>
      </c>
      <c r="P848" s="4">
        <f>IF(O848="","",IF(F848&gt;O848,"Above","Below"))</f>
        <v/>
      </c>
      <c r="Q848" s="16" t="n">
        <v>169496</v>
      </c>
      <c r="R848" s="17" t="n">
        <v>0</v>
      </c>
      <c r="S848" s="17" t="n">
        <v>0</v>
      </c>
      <c r="T848" s="17" t="n">
        <v>0</v>
      </c>
      <c r="U848" s="18" t="n">
        <v>0</v>
      </c>
    </row>
    <row r="849">
      <c r="A849" s="13" t="n">
        <v>45702</v>
      </c>
      <c r="B849" s="4">
        <f>TEXT(A849,"ddd")</f>
        <v/>
      </c>
      <c r="C849" s="14" t="n">
        <v>2957.3</v>
      </c>
      <c r="D849" s="14" t="n">
        <v>2964.1</v>
      </c>
      <c r="E849" s="14" t="n">
        <v>2889.9</v>
      </c>
      <c r="F849" s="14" t="n">
        <v>2900.7</v>
      </c>
      <c r="G849" s="9">
        <f>F849-F848</f>
        <v/>
      </c>
      <c r="H849" s="10">
        <f>IF(F848=0,0,G849/F848)</f>
        <v/>
      </c>
      <c r="I849" s="8">
        <f>D849-E849</f>
        <v/>
      </c>
      <c r="J849" s="4">
        <f>IF(F849&gt;C849,"Up",IF(F849&lt;C849,"Down","Flat"))</f>
        <v/>
      </c>
      <c r="K849" s="14" t="n">
        <v>43.59</v>
      </c>
      <c r="L849" s="15" t="n">
        <v>64.13</v>
      </c>
      <c r="M849" s="14" t="n">
        <v>2847.74</v>
      </c>
      <c r="N849" s="14" t="n">
        <v>2769.35</v>
      </c>
      <c r="O849" s="14" t="n">
        <v>2573.71</v>
      </c>
      <c r="P849" s="4">
        <f>IF(O849="","",IF(F849&gt;O849,"Above","Below"))</f>
        <v/>
      </c>
      <c r="Q849" s="16" t="n">
        <v>228078</v>
      </c>
      <c r="R849" s="17" t="n">
        <v>0</v>
      </c>
      <c r="S849" s="17" t="n">
        <v>0</v>
      </c>
      <c r="T849" s="17" t="n">
        <v>0</v>
      </c>
      <c r="U849" s="18" t="n">
        <v>0</v>
      </c>
    </row>
    <row r="850">
      <c r="A850" s="13" t="n">
        <v>45706</v>
      </c>
      <c r="B850" s="4">
        <f>TEXT(A850,"ddd")</f>
        <v/>
      </c>
      <c r="C850" s="14" t="n">
        <v>2895.1</v>
      </c>
      <c r="D850" s="14" t="n">
        <v>2956.5</v>
      </c>
      <c r="E850" s="14" t="n">
        <v>2887.6</v>
      </c>
      <c r="F850" s="14" t="n">
        <v>2949</v>
      </c>
      <c r="G850" s="9">
        <f>F850-F849</f>
        <v/>
      </c>
      <c r="H850" s="10">
        <f>IF(F849=0,0,G850/F849)</f>
        <v/>
      </c>
      <c r="I850" s="8">
        <f>D850-E850</f>
        <v/>
      </c>
      <c r="J850" s="4">
        <f>IF(F850&gt;C850,"Up",IF(F850&lt;C850,"Down","Flat"))</f>
        <v/>
      </c>
      <c r="K850" s="14" t="n">
        <v>45.4</v>
      </c>
      <c r="L850" s="15" t="n">
        <v>69.45</v>
      </c>
      <c r="M850" s="14" t="n">
        <v>2857.39</v>
      </c>
      <c r="N850" s="14" t="n">
        <v>2776.39</v>
      </c>
      <c r="O850" s="14" t="n">
        <v>2577.44</v>
      </c>
      <c r="P850" s="4">
        <f>IF(O850="","",IF(F850&gt;O850,"Above","Below"))</f>
        <v/>
      </c>
      <c r="Q850" s="16" t="n">
        <v>218757</v>
      </c>
      <c r="R850" s="17" t="n">
        <v>0</v>
      </c>
      <c r="S850" s="17" t="n">
        <v>0</v>
      </c>
      <c r="T850" s="17" t="n">
        <v>0</v>
      </c>
      <c r="U850" s="18" t="n">
        <v>0</v>
      </c>
    </row>
    <row r="851">
      <c r="A851" s="13" t="n">
        <v>45707</v>
      </c>
      <c r="B851" s="4">
        <f>TEXT(A851,"ddd")</f>
        <v/>
      </c>
      <c r="C851" s="14" t="n">
        <v>2954.1</v>
      </c>
      <c r="D851" s="14" t="n">
        <v>2964.4</v>
      </c>
      <c r="E851" s="14" t="n">
        <v>2933.7</v>
      </c>
      <c r="F851" s="14" t="n">
        <v>2936.1</v>
      </c>
      <c r="G851" s="9">
        <f>F851-F850</f>
        <v/>
      </c>
      <c r="H851" s="10">
        <f>IF(F850=0,0,G851/F850)</f>
        <v/>
      </c>
      <c r="I851" s="8">
        <f>D851-E851</f>
        <v/>
      </c>
      <c r="J851" s="4">
        <f>IF(F851&gt;C851,"Up",IF(F851&lt;C851,"Down","Flat"))</f>
        <v/>
      </c>
      <c r="K851" s="14" t="n">
        <v>44.35</v>
      </c>
      <c r="L851" s="15" t="n">
        <v>66.61</v>
      </c>
      <c r="M851" s="14" t="n">
        <v>2864.88</v>
      </c>
      <c r="N851" s="14" t="n">
        <v>2782.66</v>
      </c>
      <c r="O851" s="14" t="n">
        <v>2581.01</v>
      </c>
      <c r="P851" s="4">
        <f>IF(O851="","",IF(F851&gt;O851,"Above","Below"))</f>
        <v/>
      </c>
      <c r="Q851" s="16" t="n">
        <v>159341</v>
      </c>
      <c r="R851" s="17" t="n">
        <v>0</v>
      </c>
      <c r="S851" s="17" t="n">
        <v>0</v>
      </c>
      <c r="T851" s="17" t="n">
        <v>0</v>
      </c>
      <c r="U851" s="18" t="n">
        <v>0</v>
      </c>
    </row>
    <row r="852">
      <c r="A852" s="13" t="n">
        <v>45708</v>
      </c>
      <c r="B852" s="4">
        <f>TEXT(A852,"ddd")</f>
        <v/>
      </c>
      <c r="C852" s="14" t="n">
        <v>2949.5</v>
      </c>
      <c r="D852" s="14" t="n">
        <v>2973.4</v>
      </c>
      <c r="E852" s="14" t="n">
        <v>2939.3</v>
      </c>
      <c r="F852" s="14" t="n">
        <v>2956.1</v>
      </c>
      <c r="G852" s="9">
        <f>F852-F851</f>
        <v/>
      </c>
      <c r="H852" s="10">
        <f>IF(F851=0,0,G852/F851)</f>
        <v/>
      </c>
      <c r="I852" s="8">
        <f>D852-E852</f>
        <v/>
      </c>
      <c r="J852" s="4">
        <f>IF(F852&gt;C852,"Up",IF(F852&lt;C852,"Down","Flat"))</f>
        <v/>
      </c>
      <c r="K852" s="14" t="n">
        <v>43.84</v>
      </c>
      <c r="L852" s="15" t="n">
        <v>68.73999999999999</v>
      </c>
      <c r="M852" s="14" t="n">
        <v>2873.57</v>
      </c>
      <c r="N852" s="14" t="n">
        <v>2789.46</v>
      </c>
      <c r="O852" s="14" t="n">
        <v>2584.74</v>
      </c>
      <c r="P852" s="4">
        <f>IF(O852="","",IF(F852&gt;O852,"Above","Below"))</f>
        <v/>
      </c>
      <c r="Q852" s="16" t="n">
        <v>172197</v>
      </c>
      <c r="R852" s="17" t="n">
        <v>0</v>
      </c>
      <c r="S852" s="17" t="n">
        <v>0</v>
      </c>
      <c r="T852" s="17" t="n">
        <v>0</v>
      </c>
      <c r="U852" s="18" t="n">
        <v>0</v>
      </c>
    </row>
    <row r="853">
      <c r="A853" s="13" t="n">
        <v>45709</v>
      </c>
      <c r="B853" s="4">
        <f>TEXT(A853,"ddd")</f>
        <v/>
      </c>
      <c r="C853" s="14" t="n">
        <v>2955.7</v>
      </c>
      <c r="D853" s="14" t="n">
        <v>2964.7</v>
      </c>
      <c r="E853" s="14" t="n">
        <v>2930.1</v>
      </c>
      <c r="F853" s="14" t="n">
        <v>2953.2</v>
      </c>
      <c r="G853" s="9">
        <f>F853-F852</f>
        <v/>
      </c>
      <c r="H853" s="10">
        <f>IF(F852=0,0,G853/F852)</f>
        <v/>
      </c>
      <c r="I853" s="8">
        <f>D853-E853</f>
        <v/>
      </c>
      <c r="J853" s="4">
        <f>IF(F853&gt;C853,"Up",IF(F853&lt;C853,"Down","Flat"))</f>
        <v/>
      </c>
      <c r="K853" s="14" t="n">
        <v>43.18</v>
      </c>
      <c r="L853" s="15" t="n">
        <v>68.06</v>
      </c>
      <c r="M853" s="14" t="n">
        <v>2881.15</v>
      </c>
      <c r="N853" s="14" t="n">
        <v>2795.88</v>
      </c>
      <c r="O853" s="14" t="n">
        <v>2588.41</v>
      </c>
      <c r="P853" s="4">
        <f>IF(O853="","",IF(F853&gt;O853,"Above","Below"))</f>
        <v/>
      </c>
      <c r="Q853" s="16" t="n">
        <v>163686</v>
      </c>
      <c r="R853" s="17" t="n">
        <v>0</v>
      </c>
      <c r="S853" s="17" t="n">
        <v>0</v>
      </c>
      <c r="T853" s="17" t="n">
        <v>0</v>
      </c>
      <c r="U853" s="18" t="n">
        <v>0</v>
      </c>
    </row>
    <row r="854">
      <c r="A854" s="13" t="n">
        <v>45712</v>
      </c>
      <c r="B854" s="4">
        <f>TEXT(A854,"ddd")</f>
        <v/>
      </c>
      <c r="C854" s="14" t="n">
        <v>2950.4</v>
      </c>
      <c r="D854" s="14" t="n">
        <v>2974</v>
      </c>
      <c r="E854" s="14" t="n">
        <v>2936.8</v>
      </c>
      <c r="F854" s="14" t="n">
        <v>2963.2</v>
      </c>
      <c r="G854" s="9">
        <f>F854-F853</f>
        <v/>
      </c>
      <c r="H854" s="10">
        <f>IF(F853=0,0,G854/F853)</f>
        <v/>
      </c>
      <c r="I854" s="8">
        <f>D854-E854</f>
        <v/>
      </c>
      <c r="J854" s="4">
        <f>IF(F854&gt;C854,"Up",IF(F854&lt;C854,"Down","Flat"))</f>
        <v/>
      </c>
      <c r="K854" s="14" t="n">
        <v>42.76</v>
      </c>
      <c r="L854" s="15" t="n">
        <v>69.2</v>
      </c>
      <c r="M854" s="14" t="n">
        <v>2888.97</v>
      </c>
      <c r="N854" s="14" t="n">
        <v>2802.44</v>
      </c>
      <c r="O854" s="14" t="n">
        <v>2592.14</v>
      </c>
      <c r="P854" s="4">
        <f>IF(O854="","",IF(F854&gt;O854,"Above","Below"))</f>
        <v/>
      </c>
      <c r="Q854" s="16" t="n">
        <v>162775</v>
      </c>
      <c r="R854" s="17" t="n">
        <v>0</v>
      </c>
      <c r="S854" s="17" t="n">
        <v>0</v>
      </c>
      <c r="T854" s="17" t="n">
        <v>0</v>
      </c>
      <c r="U854" s="18" t="n">
        <v>0</v>
      </c>
    </row>
    <row r="855">
      <c r="A855" s="13" t="n">
        <v>45713</v>
      </c>
      <c r="B855" s="4">
        <f>TEXT(A855,"ddd")</f>
        <v/>
      </c>
      <c r="C855" s="14" t="n">
        <v>2968.5</v>
      </c>
      <c r="D855" s="14" t="n">
        <v>2970.4</v>
      </c>
      <c r="E855" s="14" t="n">
        <v>2897</v>
      </c>
      <c r="F855" s="14" t="n">
        <v>2918.8</v>
      </c>
      <c r="G855" s="9">
        <f>F855-F854</f>
        <v/>
      </c>
      <c r="H855" s="10">
        <f>IF(F854=0,0,G855/F854)</f>
        <v/>
      </c>
      <c r="I855" s="8">
        <f>D855-E855</f>
        <v/>
      </c>
      <c r="J855" s="4">
        <f>IF(F855&gt;C855,"Up",IF(F855&lt;C855,"Down","Flat"))</f>
        <v/>
      </c>
      <c r="K855" s="14" t="n">
        <v>44.94</v>
      </c>
      <c r="L855" s="15" t="n">
        <v>59.17</v>
      </c>
      <c r="M855" s="14" t="n">
        <v>2891.81</v>
      </c>
      <c r="N855" s="14" t="n">
        <v>2807</v>
      </c>
      <c r="O855" s="14" t="n">
        <v>2595.39</v>
      </c>
      <c r="P855" s="4">
        <f>IF(O855="","",IF(F855&gt;O855,"Above","Below"))</f>
        <v/>
      </c>
      <c r="Q855" s="16" t="n">
        <v>234850</v>
      </c>
      <c r="R855" s="17" t="n">
        <v>0</v>
      </c>
      <c r="S855" s="17" t="n">
        <v>0</v>
      </c>
      <c r="T855" s="17" t="n">
        <v>0</v>
      </c>
      <c r="U855" s="18" t="n">
        <v>0</v>
      </c>
    </row>
    <row r="856">
      <c r="A856" s="13" t="n">
        <v>45714</v>
      </c>
      <c r="B856" s="4">
        <f>TEXT(A856,"ddd")</f>
        <v/>
      </c>
      <c r="C856" s="14" t="n">
        <v>2929</v>
      </c>
      <c r="D856" s="14" t="n">
        <v>2942</v>
      </c>
      <c r="E856" s="14" t="n">
        <v>2903.3</v>
      </c>
      <c r="F856" s="14" t="n">
        <v>2930.6</v>
      </c>
      <c r="G856" s="9">
        <f>F856-F855</f>
        <v/>
      </c>
      <c r="H856" s="10">
        <f>IF(F855=0,0,G856/F855)</f>
        <v/>
      </c>
      <c r="I856" s="8">
        <f>D856-E856</f>
        <v/>
      </c>
      <c r="J856" s="4">
        <f>IF(F856&gt;C856,"Up",IF(F856&lt;C856,"Down","Flat"))</f>
        <v/>
      </c>
      <c r="K856" s="14" t="n">
        <v>44.5</v>
      </c>
      <c r="L856" s="15" t="n">
        <v>60.8</v>
      </c>
      <c r="M856" s="14" t="n">
        <v>2895.5</v>
      </c>
      <c r="N856" s="14" t="n">
        <v>2811.85</v>
      </c>
      <c r="O856" s="14" t="n">
        <v>2598.72</v>
      </c>
      <c r="P856" s="4">
        <f>IF(O856="","",IF(F856&gt;O856,"Above","Below"))</f>
        <v/>
      </c>
      <c r="Q856" s="16" t="n">
        <v>163371</v>
      </c>
      <c r="R856" s="17" t="n">
        <v>0</v>
      </c>
      <c r="S856" s="17" t="n">
        <v>0</v>
      </c>
      <c r="T856" s="17" t="n">
        <v>0</v>
      </c>
      <c r="U856" s="18" t="n">
        <v>0</v>
      </c>
    </row>
    <row r="857">
      <c r="A857" s="13" t="n">
        <v>45715</v>
      </c>
      <c r="B857" s="4">
        <f>TEXT(A857,"ddd")</f>
        <v/>
      </c>
      <c r="C857" s="14" t="n">
        <v>2931.4</v>
      </c>
      <c r="D857" s="14" t="n">
        <v>2935.8</v>
      </c>
      <c r="E857" s="14" t="n">
        <v>2879</v>
      </c>
      <c r="F857" s="14" t="n">
        <v>2895.9</v>
      </c>
      <c r="G857" s="9">
        <f>F857-F856</f>
        <v/>
      </c>
      <c r="H857" s="10">
        <f>IF(F856=0,0,G857/F856)</f>
        <v/>
      </c>
      <c r="I857" s="8">
        <f>D857-E857</f>
        <v/>
      </c>
      <c r="J857" s="4">
        <f>IF(F857&gt;C857,"Up",IF(F857&lt;C857,"Down","Flat"))</f>
        <v/>
      </c>
      <c r="K857" s="14" t="n">
        <v>45.38</v>
      </c>
      <c r="L857" s="15" t="n">
        <v>53.99</v>
      </c>
      <c r="M857" s="14" t="n">
        <v>2895.54</v>
      </c>
      <c r="N857" s="14" t="n">
        <v>2815.15</v>
      </c>
      <c r="O857" s="14" t="n">
        <v>2601.68</v>
      </c>
      <c r="P857" s="4">
        <f>IF(O857="","",IF(F857&gt;O857,"Above","Below"))</f>
        <v/>
      </c>
      <c r="Q857" s="16" t="n">
        <v>207650</v>
      </c>
      <c r="R857" s="17" t="n">
        <v>0</v>
      </c>
      <c r="S857" s="17" t="n">
        <v>0</v>
      </c>
      <c r="T857" s="17" t="n">
        <v>0</v>
      </c>
      <c r="U857" s="18" t="n">
        <v>0</v>
      </c>
    </row>
    <row r="858">
      <c r="A858" s="13" t="n">
        <v>45716</v>
      </c>
      <c r="B858" s="4">
        <f>TEXT(A858,"ddd")</f>
        <v/>
      </c>
      <c r="C858" s="14" t="n">
        <v>2889</v>
      </c>
      <c r="D858" s="14" t="n">
        <v>2896.1</v>
      </c>
      <c r="E858" s="14" t="n">
        <v>2844.1</v>
      </c>
      <c r="F858" s="14" t="n">
        <v>2848.5</v>
      </c>
      <c r="G858" s="9">
        <f>F858-F857</f>
        <v/>
      </c>
      <c r="H858" s="10">
        <f>IF(F857=0,0,G858/F857)</f>
        <v/>
      </c>
      <c r="I858" s="8">
        <f>D858-E858</f>
        <v/>
      </c>
      <c r="J858" s="4">
        <f>IF(F858&gt;C858,"Up",IF(F858&lt;C858,"Down","Flat"))</f>
        <v/>
      </c>
      <c r="K858" s="14" t="n">
        <v>45.85</v>
      </c>
      <c r="L858" s="15" t="n">
        <v>46.36</v>
      </c>
      <c r="M858" s="14" t="n">
        <v>2891.06</v>
      </c>
      <c r="N858" s="14" t="n">
        <v>2816.45</v>
      </c>
      <c r="O858" s="14" t="n">
        <v>2604.14</v>
      </c>
      <c r="P858" s="4">
        <f>IF(O858="","",IF(F858&gt;O858,"Above","Below"))</f>
        <v/>
      </c>
      <c r="Q858" s="16" t="n">
        <v>210560</v>
      </c>
      <c r="R858" s="17" t="n">
        <v>0</v>
      </c>
      <c r="S858" s="17" t="n">
        <v>0</v>
      </c>
      <c r="T858" s="17" t="n">
        <v>0</v>
      </c>
      <c r="U858" s="18" t="n">
        <v>0</v>
      </c>
    </row>
    <row r="859">
      <c r="A859" s="13" t="n">
        <v>45719</v>
      </c>
      <c r="B859" s="4">
        <f>TEXT(A859,"ddd")</f>
        <v/>
      </c>
      <c r="C859" s="14" t="n">
        <v>2872</v>
      </c>
      <c r="D859" s="14" t="n">
        <v>2906.4</v>
      </c>
      <c r="E859" s="14" t="n">
        <v>2866.3</v>
      </c>
      <c r="F859" s="14" t="n">
        <v>2901.1</v>
      </c>
      <c r="G859" s="9">
        <f>F859-F858</f>
        <v/>
      </c>
      <c r="H859" s="10">
        <f>IF(F858=0,0,G859/F858)</f>
        <v/>
      </c>
      <c r="I859" s="8">
        <f>D859-E859</f>
        <v/>
      </c>
      <c r="J859" s="4">
        <f>IF(F859&gt;C859,"Up",IF(F859&lt;C859,"Down","Flat"))</f>
        <v/>
      </c>
      <c r="K859" s="14" t="n">
        <v>46.71</v>
      </c>
      <c r="L859" s="15" t="n">
        <v>54.11</v>
      </c>
      <c r="M859" s="14" t="n">
        <v>2892.02</v>
      </c>
      <c r="N859" s="14" t="n">
        <v>2819.77</v>
      </c>
      <c r="O859" s="14" t="n">
        <v>2607.09</v>
      </c>
      <c r="P859" s="4">
        <f>IF(O859="","",IF(F859&gt;O859,"Above","Below"))</f>
        <v/>
      </c>
      <c r="Q859" s="16" t="n">
        <v>177018</v>
      </c>
      <c r="R859" s="17" t="n">
        <v>0</v>
      </c>
      <c r="S859" s="17" t="n">
        <v>0</v>
      </c>
      <c r="T859" s="17" t="n">
        <v>0</v>
      </c>
      <c r="U859" s="18" t="n">
        <v>0</v>
      </c>
    </row>
    <row r="860">
      <c r="A860" s="13" t="n">
        <v>45720</v>
      </c>
      <c r="B860" s="4">
        <f>TEXT(A860,"ddd")</f>
        <v/>
      </c>
      <c r="C860" s="14" t="n">
        <v>2904.2</v>
      </c>
      <c r="D860" s="14" t="n">
        <v>2939.8</v>
      </c>
      <c r="E860" s="14" t="n">
        <v>2892.5</v>
      </c>
      <c r="F860" s="14" t="n">
        <v>2920.6</v>
      </c>
      <c r="G860" s="9">
        <f>F860-F859</f>
        <v/>
      </c>
      <c r="H860" s="10">
        <f>IF(F859=0,0,G860/F859)</f>
        <v/>
      </c>
      <c r="I860" s="8">
        <f>D860-E860</f>
        <v/>
      </c>
      <c r="J860" s="4">
        <f>IF(F860&gt;C860,"Up",IF(F860&lt;C860,"Down","Flat"))</f>
        <v/>
      </c>
      <c r="K860" s="14" t="n">
        <v>46.75</v>
      </c>
      <c r="L860" s="15" t="n">
        <v>56.62</v>
      </c>
      <c r="M860" s="14" t="n">
        <v>2894.74</v>
      </c>
      <c r="N860" s="14" t="n">
        <v>2823.73</v>
      </c>
      <c r="O860" s="14" t="n">
        <v>2610.21</v>
      </c>
      <c r="P860" s="4">
        <f>IF(O860="","",IF(F860&gt;O860,"Above","Below"))</f>
        <v/>
      </c>
      <c r="Q860" s="16" t="n">
        <v>188515</v>
      </c>
      <c r="R860" s="17" t="n">
        <v>0</v>
      </c>
      <c r="S860" s="17" t="n">
        <v>0</v>
      </c>
      <c r="T860" s="17" t="n">
        <v>0</v>
      </c>
      <c r="U860" s="18" t="n">
        <v>0</v>
      </c>
    </row>
    <row r="861">
      <c r="A861" s="13" t="n">
        <v>45721</v>
      </c>
      <c r="B861" s="4">
        <f>TEXT(A861,"ddd")</f>
        <v/>
      </c>
      <c r="C861" s="14" t="n">
        <v>2929</v>
      </c>
      <c r="D861" s="14" t="n">
        <v>2941.3</v>
      </c>
      <c r="E861" s="14" t="n">
        <v>2903.4</v>
      </c>
      <c r="F861" s="14" t="n">
        <v>2926</v>
      </c>
      <c r="G861" s="9">
        <f>F861-F860</f>
        <v/>
      </c>
      <c r="H861" s="10">
        <f>IF(F860=0,0,G861/F860)</f>
        <v/>
      </c>
      <c r="I861" s="8">
        <f>D861-E861</f>
        <v/>
      </c>
      <c r="J861" s="4">
        <f>IF(F861&gt;C861,"Up",IF(F861&lt;C861,"Down","Flat"))</f>
        <v/>
      </c>
      <c r="K861" s="14" t="n">
        <v>46.12</v>
      </c>
      <c r="L861" s="15" t="n">
        <v>57.31</v>
      </c>
      <c r="M861" s="14" t="n">
        <v>2897.72</v>
      </c>
      <c r="N861" s="14" t="n">
        <v>2827.74</v>
      </c>
      <c r="O861" s="14" t="n">
        <v>2613.35</v>
      </c>
      <c r="P861" s="4">
        <f>IF(O861="","",IF(F861&gt;O861,"Above","Below"))</f>
        <v/>
      </c>
      <c r="Q861" s="16" t="n">
        <v>183016</v>
      </c>
      <c r="R861" s="17" t="n">
        <v>0</v>
      </c>
      <c r="S861" s="17" t="n">
        <v>0</v>
      </c>
      <c r="T861" s="17" t="n">
        <v>0</v>
      </c>
      <c r="U861" s="18" t="n">
        <v>0</v>
      </c>
    </row>
    <row r="862">
      <c r="A862" s="13" t="n">
        <v>45722</v>
      </c>
      <c r="B862" s="4">
        <f>TEXT(A862,"ddd")</f>
        <v/>
      </c>
      <c r="C862" s="14" t="n">
        <v>2929.5</v>
      </c>
      <c r="D862" s="14" t="n">
        <v>2935.9</v>
      </c>
      <c r="E862" s="14" t="n">
        <v>2897.6</v>
      </c>
      <c r="F862" s="14" t="n">
        <v>2926.6</v>
      </c>
      <c r="G862" s="9">
        <f>F862-F861</f>
        <v/>
      </c>
      <c r="H862" s="10">
        <f>IF(F861=0,0,G862/F861)</f>
        <v/>
      </c>
      <c r="I862" s="8">
        <f>D862-E862</f>
        <v/>
      </c>
      <c r="J862" s="4">
        <f>IF(F862&gt;C862,"Up",IF(F862&lt;C862,"Down","Flat"))</f>
        <v/>
      </c>
      <c r="K862" s="14" t="n">
        <v>45.56</v>
      </c>
      <c r="L862" s="15" t="n">
        <v>57.39</v>
      </c>
      <c r="M862" s="14" t="n">
        <v>2900.47</v>
      </c>
      <c r="N862" s="14" t="n">
        <v>2831.62</v>
      </c>
      <c r="O862" s="14" t="n">
        <v>2616.47</v>
      </c>
      <c r="P862" s="4">
        <f>IF(O862="","",IF(F862&gt;O862,"Above","Below"))</f>
        <v/>
      </c>
      <c r="Q862" s="16" t="n">
        <v>166364</v>
      </c>
      <c r="R862" s="17" t="n">
        <v>0</v>
      </c>
      <c r="S862" s="17" t="n">
        <v>0</v>
      </c>
      <c r="T862" s="17" t="n">
        <v>0</v>
      </c>
      <c r="U862" s="18" t="n">
        <v>0</v>
      </c>
    </row>
    <row r="863">
      <c r="A863" s="13" t="n">
        <v>45723</v>
      </c>
      <c r="B863" s="4">
        <f>TEXT(A863,"ddd")</f>
        <v/>
      </c>
      <c r="C863" s="14" t="n">
        <v>2919.2</v>
      </c>
      <c r="D863" s="14" t="n">
        <v>2938.8</v>
      </c>
      <c r="E863" s="14" t="n">
        <v>2905.3</v>
      </c>
      <c r="F863" s="14" t="n">
        <v>2914.1</v>
      </c>
      <c r="G863" s="9">
        <f>F863-F862</f>
        <v/>
      </c>
      <c r="H863" s="10">
        <f>IF(F862=0,0,G863/F862)</f>
        <v/>
      </c>
      <c r="I863" s="8">
        <f>D863-E863</f>
        <v/>
      </c>
      <c r="J863" s="4">
        <f>IF(F863&gt;C863,"Up",IF(F863&lt;C863,"Down","Flat"))</f>
        <v/>
      </c>
      <c r="K863" s="14" t="n">
        <v>44.7</v>
      </c>
      <c r="L863" s="15" t="n">
        <v>55.03</v>
      </c>
      <c r="M863" s="14" t="n">
        <v>2901.77</v>
      </c>
      <c r="N863" s="14" t="n">
        <v>2834.85</v>
      </c>
      <c r="O863" s="14" t="n">
        <v>2619.43</v>
      </c>
      <c r="P863" s="4">
        <f>IF(O863="","",IF(F863&gt;O863,"Above","Below"))</f>
        <v/>
      </c>
      <c r="Q863" s="16" t="n">
        <v>237577</v>
      </c>
      <c r="R863" s="17" t="n">
        <v>0</v>
      </c>
      <c r="S863" s="17" t="n">
        <v>0</v>
      </c>
      <c r="T863" s="17" t="n">
        <v>0</v>
      </c>
      <c r="U863" s="18" t="n">
        <v>0</v>
      </c>
    </row>
    <row r="864">
      <c r="A864" s="13" t="n">
        <v>45726</v>
      </c>
      <c r="B864" s="4">
        <f>TEXT(A864,"ddd")</f>
        <v/>
      </c>
      <c r="C864" s="14" t="n">
        <v>2919.6</v>
      </c>
      <c r="D864" s="14" t="n">
        <v>2926.4</v>
      </c>
      <c r="E864" s="14" t="n">
        <v>2885.2</v>
      </c>
      <c r="F864" s="14" t="n">
        <v>2899.4</v>
      </c>
      <c r="G864" s="9">
        <f>F864-F863</f>
        <v/>
      </c>
      <c r="H864" s="10">
        <f>IF(F863=0,0,G864/F863)</f>
        <v/>
      </c>
      <c r="I864" s="8">
        <f>D864-E864</f>
        <v/>
      </c>
      <c r="J864" s="4">
        <f>IF(F864&gt;C864,"Up",IF(F864&lt;C864,"Down","Flat"))</f>
        <v/>
      </c>
      <c r="K864" s="14" t="n">
        <v>44.45</v>
      </c>
      <c r="L864" s="15" t="n">
        <v>52.31</v>
      </c>
      <c r="M864" s="14" t="n">
        <v>2901.54</v>
      </c>
      <c r="N864" s="14" t="n">
        <v>2837.38</v>
      </c>
      <c r="O864" s="14" t="n">
        <v>2622.22</v>
      </c>
      <c r="P864" s="4">
        <f>IF(O864="","",IF(F864&gt;O864,"Above","Below"))</f>
        <v/>
      </c>
      <c r="Q864" s="16" t="n">
        <v>221609</v>
      </c>
      <c r="R864" s="17" t="n">
        <v>0</v>
      </c>
      <c r="S864" s="17" t="n">
        <v>0</v>
      </c>
      <c r="T864" s="17" t="n">
        <v>0</v>
      </c>
      <c r="U864" s="18" t="n">
        <v>0</v>
      </c>
    </row>
    <row r="865">
      <c r="A865" s="13" t="n">
        <v>45727</v>
      </c>
      <c r="B865" s="4">
        <f>TEXT(A865,"ddd")</f>
        <v/>
      </c>
      <c r="C865" s="14" t="n">
        <v>2893.2</v>
      </c>
      <c r="D865" s="14" t="n">
        <v>2929</v>
      </c>
      <c r="E865" s="14" t="n">
        <v>2882.5</v>
      </c>
      <c r="F865" s="14" t="n">
        <v>2920.9</v>
      </c>
      <c r="G865" s="9">
        <f>F865-F864</f>
        <v/>
      </c>
      <c r="H865" s="10">
        <f>IF(F864=0,0,G865/F864)</f>
        <v/>
      </c>
      <c r="I865" s="8">
        <f>D865-E865</f>
        <v/>
      </c>
      <c r="J865" s="4">
        <f>IF(F865&gt;C865,"Up",IF(F865&lt;C865,"Down","Flat"))</f>
        <v/>
      </c>
      <c r="K865" s="14" t="n">
        <v>44.6</v>
      </c>
      <c r="L865" s="15" t="n">
        <v>55.76</v>
      </c>
      <c r="M865" s="14" t="n">
        <v>2903.38</v>
      </c>
      <c r="N865" s="14" t="n">
        <v>2840.66</v>
      </c>
      <c r="O865" s="14" t="n">
        <v>2625.19</v>
      </c>
      <c r="P865" s="4">
        <f>IF(O865="","",IF(F865&gt;O865,"Above","Below"))</f>
        <v/>
      </c>
      <c r="Q865" s="16" t="n">
        <v>194119</v>
      </c>
      <c r="R865" s="17" t="n">
        <v>0</v>
      </c>
      <c r="S865" s="17" t="n">
        <v>0</v>
      </c>
      <c r="T865" s="17" t="n">
        <v>0</v>
      </c>
      <c r="U865" s="18" t="n">
        <v>0</v>
      </c>
    </row>
    <row r="866">
      <c r="A866" s="13" t="n">
        <v>45728</v>
      </c>
      <c r="B866" s="4">
        <f>TEXT(A866,"ddd")</f>
        <v/>
      </c>
      <c r="C866" s="14" t="n">
        <v>2922.3</v>
      </c>
      <c r="D866" s="14" t="n">
        <v>2948.9</v>
      </c>
      <c r="E866" s="14" t="n">
        <v>2911</v>
      </c>
      <c r="F866" s="14" t="n">
        <v>2946.8</v>
      </c>
      <c r="G866" s="9">
        <f>F866-F865</f>
        <v/>
      </c>
      <c r="H866" s="10">
        <f>IF(F865=0,0,G866/F865)</f>
        <v/>
      </c>
      <c r="I866" s="8">
        <f>D866-E866</f>
        <v/>
      </c>
      <c r="J866" s="4">
        <f>IF(F866&gt;C866,"Up",IF(F866&lt;C866,"Down","Flat"))</f>
        <v/>
      </c>
      <c r="K866" s="14" t="n">
        <v>44.12</v>
      </c>
      <c r="L866" s="15" t="n">
        <v>59.55</v>
      </c>
      <c r="M866" s="14" t="n">
        <v>2907.52</v>
      </c>
      <c r="N866" s="14" t="n">
        <v>2844.82</v>
      </c>
      <c r="O866" s="14" t="n">
        <v>2628.39</v>
      </c>
      <c r="P866" s="4">
        <f>IF(O866="","",IF(F866&gt;O866,"Above","Below"))</f>
        <v/>
      </c>
      <c r="Q866" s="16" t="n">
        <v>209823</v>
      </c>
      <c r="R866" s="17" t="n">
        <v>0</v>
      </c>
      <c r="S866" s="17" t="n">
        <v>0</v>
      </c>
      <c r="T866" s="17" t="n">
        <v>0</v>
      </c>
      <c r="U866" s="18" t="n">
        <v>0</v>
      </c>
    </row>
    <row r="867">
      <c r="A867" s="13" t="n">
        <v>45729</v>
      </c>
      <c r="B867" s="4">
        <f>TEXT(A867,"ddd")</f>
        <v/>
      </c>
      <c r="C867" s="14" t="n">
        <v>2943.3</v>
      </c>
      <c r="D867" s="14" t="n">
        <v>3001.5</v>
      </c>
      <c r="E867" s="14" t="n">
        <v>2942.2</v>
      </c>
      <c r="F867" s="14" t="n">
        <v>2991.3</v>
      </c>
      <c r="G867" s="9">
        <f>F867-F866</f>
        <v/>
      </c>
      <c r="H867" s="10">
        <f>IF(F866=0,0,G867/F866)</f>
        <v/>
      </c>
      <c r="I867" s="8">
        <f>D867-E867</f>
        <v/>
      </c>
      <c r="J867" s="4">
        <f>IF(F867&gt;C867,"Up",IF(F867&lt;C867,"Down","Flat"))</f>
        <v/>
      </c>
      <c r="K867" s="14" t="n">
        <v>45.2</v>
      </c>
      <c r="L867" s="15" t="n">
        <v>65.09999999999999</v>
      </c>
      <c r="M867" s="14" t="n">
        <v>2915.5</v>
      </c>
      <c r="N867" s="14" t="n">
        <v>2850.56</v>
      </c>
      <c r="O867" s="14" t="n">
        <v>2632</v>
      </c>
      <c r="P867" s="4">
        <f>IF(O867="","",IF(F867&gt;O867,"Above","Below"))</f>
        <v/>
      </c>
      <c r="Q867" s="16" t="n">
        <v>256564</v>
      </c>
      <c r="R867" s="17" t="n">
        <v>0</v>
      </c>
      <c r="S867" s="17" t="n">
        <v>0</v>
      </c>
      <c r="T867" s="17" t="n">
        <v>0</v>
      </c>
      <c r="U867" s="18" t="n">
        <v>0</v>
      </c>
    </row>
    <row r="868">
      <c r="A868" s="13" t="n">
        <v>45730</v>
      </c>
      <c r="B868" s="4">
        <f>TEXT(A868,"ddd")</f>
        <v/>
      </c>
      <c r="C868" s="14" t="n">
        <v>3001.4</v>
      </c>
      <c r="D868" s="14" t="n">
        <v>3017.1</v>
      </c>
      <c r="E868" s="14" t="n">
        <v>2988.6</v>
      </c>
      <c r="F868" s="14" t="n">
        <v>3001.1</v>
      </c>
      <c r="G868" s="9">
        <f>F868-F867</f>
        <v/>
      </c>
      <c r="H868" s="10">
        <f>IF(F867=0,0,G868/F867)</f>
        <v/>
      </c>
      <c r="I868" s="8">
        <f>D868-E868</f>
        <v/>
      </c>
      <c r="J868" s="4">
        <f>IF(F868&gt;C868,"Up",IF(F868&lt;C868,"Down","Flat"))</f>
        <v/>
      </c>
      <c r="K868" s="14" t="n">
        <v>44.01</v>
      </c>
      <c r="L868" s="15" t="n">
        <v>66.19</v>
      </c>
      <c r="M868" s="14" t="n">
        <v>2923.65</v>
      </c>
      <c r="N868" s="14" t="n">
        <v>2856.47</v>
      </c>
      <c r="O868" s="14" t="n">
        <v>2635.67</v>
      </c>
      <c r="P868" s="4">
        <f>IF(O868="","",IF(F868&gt;O868,"Above","Below"))</f>
        <v/>
      </c>
      <c r="Q868" s="16" t="n">
        <v>181492</v>
      </c>
      <c r="R868" s="17" t="n">
        <v>0</v>
      </c>
      <c r="S868" s="17" t="n">
        <v>0</v>
      </c>
      <c r="T868" s="17" t="n">
        <v>0</v>
      </c>
      <c r="U868" s="18" t="n">
        <v>0</v>
      </c>
    </row>
    <row r="869">
      <c r="A869" s="13" t="n">
        <v>45733</v>
      </c>
      <c r="B869" s="4">
        <f>TEXT(A869,"ddd")</f>
        <v/>
      </c>
      <c r="C869" s="14" t="n">
        <v>2994.8</v>
      </c>
      <c r="D869" s="14" t="n">
        <v>3010.9</v>
      </c>
      <c r="E869" s="14" t="n">
        <v>2991.4</v>
      </c>
      <c r="F869" s="14" t="n">
        <v>3006.1</v>
      </c>
      <c r="G869" s="9">
        <f>F869-F868</f>
        <v/>
      </c>
      <c r="H869" s="10">
        <f>IF(F868=0,0,G869/F868)</f>
        <v/>
      </c>
      <c r="I869" s="8">
        <f>D869-E869</f>
        <v/>
      </c>
      <c r="J869" s="4">
        <f>IF(F869&gt;C869,"Up",IF(F869&lt;C869,"Down","Flat"))</f>
        <v/>
      </c>
      <c r="K869" s="14" t="n">
        <v>42.26</v>
      </c>
      <c r="L869" s="15" t="n">
        <v>66.77</v>
      </c>
      <c r="M869" s="14" t="n">
        <v>2931.5</v>
      </c>
      <c r="N869" s="14" t="n">
        <v>2862.34</v>
      </c>
      <c r="O869" s="14" t="n">
        <v>2639.36</v>
      </c>
      <c r="P869" s="4">
        <f>IF(O869="","",IF(F869&gt;O869,"Above","Below"))</f>
        <v/>
      </c>
      <c r="Q869" s="16" t="n">
        <v>142155</v>
      </c>
      <c r="R869" s="17" t="n">
        <v>0</v>
      </c>
      <c r="S869" s="17" t="n">
        <v>0</v>
      </c>
      <c r="T869" s="17" t="n">
        <v>0</v>
      </c>
      <c r="U869" s="18" t="n">
        <v>0</v>
      </c>
    </row>
    <row r="870">
      <c r="A870" s="13" t="n">
        <v>45734</v>
      </c>
      <c r="B870" s="4">
        <f>TEXT(A870,"ddd")</f>
        <v/>
      </c>
      <c r="C870" s="14" t="n">
        <v>3009.4</v>
      </c>
      <c r="D870" s="14" t="n">
        <v>3047.5</v>
      </c>
      <c r="E870" s="14" t="n">
        <v>3008.2</v>
      </c>
      <c r="F870" s="14" t="n">
        <v>3040.8</v>
      </c>
      <c r="G870" s="9">
        <f>F870-F869</f>
        <v/>
      </c>
      <c r="H870" s="10">
        <f>IF(F869=0,0,G870/F869)</f>
        <v/>
      </c>
      <c r="I870" s="8">
        <f>D870-E870</f>
        <v/>
      </c>
      <c r="J870" s="4">
        <f>IF(F870&gt;C870,"Up",IF(F870&lt;C870,"Down","Flat"))</f>
        <v/>
      </c>
      <c r="K870" s="14" t="n">
        <v>42.2</v>
      </c>
      <c r="L870" s="15" t="n">
        <v>70.51000000000001</v>
      </c>
      <c r="M870" s="14" t="n">
        <v>2941.91</v>
      </c>
      <c r="N870" s="14" t="n">
        <v>2869.33</v>
      </c>
      <c r="O870" s="14" t="n">
        <v>2643.35</v>
      </c>
      <c r="P870" s="4">
        <f>IF(O870="","",IF(F870&gt;O870,"Above","Below"))</f>
        <v/>
      </c>
      <c r="Q870" s="16" t="n">
        <v>177098</v>
      </c>
      <c r="R870" s="17" t="n">
        <v>0</v>
      </c>
      <c r="S870" s="17" t="n">
        <v>0</v>
      </c>
      <c r="T870" s="17" t="n">
        <v>0</v>
      </c>
      <c r="U870" s="18" t="n">
        <v>0</v>
      </c>
    </row>
    <row r="871">
      <c r="A871" s="13" t="n">
        <v>45735</v>
      </c>
      <c r="B871" s="4">
        <f>TEXT(A871,"ddd")</f>
        <v/>
      </c>
      <c r="C871" s="14" t="n">
        <v>3041.4</v>
      </c>
      <c r="D871" s="14" t="n">
        <v>3061.6</v>
      </c>
      <c r="E871" s="14" t="n">
        <v>3031.3</v>
      </c>
      <c r="F871" s="14" t="n">
        <v>3041.2</v>
      </c>
      <c r="G871" s="9">
        <f>F871-F870</f>
        <v/>
      </c>
      <c r="H871" s="10">
        <f>IF(F870=0,0,G871/F870)</f>
        <v/>
      </c>
      <c r="I871" s="8">
        <f>D871-E871</f>
        <v/>
      </c>
      <c r="J871" s="4">
        <f>IF(F871&gt;C871,"Up",IF(F871&lt;C871,"Down","Flat"))</f>
        <v/>
      </c>
      <c r="K871" s="14" t="n">
        <v>41.35</v>
      </c>
      <c r="L871" s="15" t="n">
        <v>70.56</v>
      </c>
      <c r="M871" s="14" t="n">
        <v>2951.37</v>
      </c>
      <c r="N871" s="14" t="n">
        <v>2876.07</v>
      </c>
      <c r="O871" s="14" t="n">
        <v>2647.31</v>
      </c>
      <c r="P871" s="4">
        <f>IF(O871="","",IF(F871&gt;O871,"Above","Below"))</f>
        <v/>
      </c>
      <c r="Q871" s="16" t="n">
        <v>145404</v>
      </c>
      <c r="R871" s="17" t="n">
        <v>0</v>
      </c>
      <c r="S871" s="17" t="n">
        <v>0</v>
      </c>
      <c r="T871" s="17" t="n">
        <v>0</v>
      </c>
      <c r="U871" s="18" t="n">
        <v>0</v>
      </c>
    </row>
    <row r="872">
      <c r="A872" s="13" t="n">
        <v>45736</v>
      </c>
      <c r="B872" s="4">
        <f>TEXT(A872,"ddd")</f>
        <v/>
      </c>
      <c r="C872" s="14" t="n">
        <v>3058</v>
      </c>
      <c r="D872" s="14" t="n">
        <v>3065.2</v>
      </c>
      <c r="E872" s="14" t="n">
        <v>3032.8</v>
      </c>
      <c r="F872" s="14" t="n">
        <v>3043.8</v>
      </c>
      <c r="G872" s="9">
        <f>F872-F871</f>
        <v/>
      </c>
      <c r="H872" s="10">
        <f>IF(F871=0,0,G872/F871)</f>
        <v/>
      </c>
      <c r="I872" s="8">
        <f>D872-E872</f>
        <v/>
      </c>
      <c r="J872" s="4">
        <f>IF(F872&gt;C872,"Up",IF(F872&lt;C872,"Down","Flat"))</f>
        <v/>
      </c>
      <c r="K872" s="14" t="n">
        <v>40.71</v>
      </c>
      <c r="L872" s="15" t="n">
        <v>70.84</v>
      </c>
      <c r="M872" s="14" t="n">
        <v>2960.17</v>
      </c>
      <c r="N872" s="14" t="n">
        <v>2882.65</v>
      </c>
      <c r="O872" s="14" t="n">
        <v>2651.26</v>
      </c>
      <c r="P872" s="4">
        <f>IF(O872="","",IF(F872&gt;O872,"Above","Below"))</f>
        <v/>
      </c>
      <c r="Q872" s="16" t="n">
        <v>141231</v>
      </c>
      <c r="R872" s="17" t="n">
        <v>0</v>
      </c>
      <c r="S872" s="17" t="n">
        <v>0</v>
      </c>
      <c r="T872" s="17" t="n">
        <v>0</v>
      </c>
      <c r="U872" s="18" t="n">
        <v>0</v>
      </c>
    </row>
    <row r="873">
      <c r="A873" s="13" t="n">
        <v>45737</v>
      </c>
      <c r="B873" s="4">
        <f>TEXT(A873,"ddd")</f>
        <v/>
      </c>
      <c r="C873" s="14" t="n">
        <v>3052.6</v>
      </c>
      <c r="D873" s="14" t="n">
        <v>3055</v>
      </c>
      <c r="E873" s="14" t="n">
        <v>3004.1</v>
      </c>
      <c r="F873" s="14" t="n">
        <v>3021.4</v>
      </c>
      <c r="G873" s="9">
        <f>F873-F872</f>
        <v/>
      </c>
      <c r="H873" s="10">
        <f>IF(F872=0,0,G873/F872)</f>
        <v/>
      </c>
      <c r="I873" s="8">
        <f>D873-E873</f>
        <v/>
      </c>
      <c r="J873" s="4">
        <f>IF(F873&gt;C873,"Up",IF(F873&lt;C873,"Down","Flat"))</f>
        <v/>
      </c>
      <c r="K873" s="14" t="n">
        <v>41.44</v>
      </c>
      <c r="L873" s="15" t="n">
        <v>65</v>
      </c>
      <c r="M873" s="14" t="n">
        <v>2966</v>
      </c>
      <c r="N873" s="14" t="n">
        <v>2888.09</v>
      </c>
      <c r="O873" s="14" t="n">
        <v>2654.94</v>
      </c>
      <c r="P873" s="4">
        <f>IF(O873="","",IF(F873&gt;O873,"Above","Below"))</f>
        <v/>
      </c>
      <c r="Q873" s="16" t="n">
        <v>190470</v>
      </c>
      <c r="R873" s="17" t="n">
        <v>0</v>
      </c>
      <c r="S873" s="17" t="n">
        <v>0</v>
      </c>
      <c r="T873" s="17" t="n">
        <v>0</v>
      </c>
      <c r="U873" s="18" t="n">
        <v>0</v>
      </c>
    </row>
    <row r="874">
      <c r="A874" s="13" t="n">
        <v>45740</v>
      </c>
      <c r="B874" s="4">
        <f>TEXT(A874,"ddd")</f>
        <v/>
      </c>
      <c r="C874" s="14" t="n">
        <v>3027.6</v>
      </c>
      <c r="D874" s="14" t="n">
        <v>3038.4</v>
      </c>
      <c r="E874" s="14" t="n">
        <v>3007.7</v>
      </c>
      <c r="F874" s="14" t="n">
        <v>3015.6</v>
      </c>
      <c r="G874" s="9">
        <f>F874-F873</f>
        <v/>
      </c>
      <c r="H874" s="10">
        <f>IF(F873=0,0,G874/F873)</f>
        <v/>
      </c>
      <c r="I874" s="8">
        <f>D874-E874</f>
        <v/>
      </c>
      <c r="J874" s="4">
        <f>IF(F874&gt;C874,"Up",IF(F874&lt;C874,"Down","Flat"))</f>
        <v/>
      </c>
      <c r="K874" s="14" t="n">
        <v>40.67</v>
      </c>
      <c r="L874" s="15" t="n">
        <v>63.54</v>
      </c>
      <c r="M874" s="14" t="n">
        <v>2970.73</v>
      </c>
      <c r="N874" s="14" t="n">
        <v>2893.09</v>
      </c>
      <c r="O874" s="14" t="n">
        <v>2658.53</v>
      </c>
      <c r="P874" s="4">
        <f>IF(O874="","",IF(F874&gt;O874,"Above","Below"))</f>
        <v/>
      </c>
      <c r="Q874" s="16" t="n">
        <v>202822</v>
      </c>
      <c r="R874" s="17" t="n">
        <v>0</v>
      </c>
      <c r="S874" s="17" t="n">
        <v>0</v>
      </c>
      <c r="T874" s="17" t="n">
        <v>0</v>
      </c>
      <c r="U874" s="18" t="n">
        <v>0</v>
      </c>
    </row>
    <row r="875">
      <c r="A875" s="13" t="n">
        <v>45741</v>
      </c>
      <c r="B875" s="4">
        <f>TEXT(A875,"ddd")</f>
        <v/>
      </c>
      <c r="C875" s="14" t="n">
        <v>3017.5</v>
      </c>
      <c r="D875" s="14" t="n">
        <v>3042.4</v>
      </c>
      <c r="E875" s="14" t="n">
        <v>3010.8</v>
      </c>
      <c r="F875" s="14" t="n">
        <v>3025.9</v>
      </c>
      <c r="G875" s="9">
        <f>F875-F874</f>
        <v/>
      </c>
      <c r="H875" s="10">
        <f>IF(F874=0,0,G875/F874)</f>
        <v/>
      </c>
      <c r="I875" s="8">
        <f>D875-E875</f>
        <v/>
      </c>
      <c r="J875" s="4">
        <f>IF(F875&gt;C875,"Up",IF(F875&lt;C875,"Down","Flat"))</f>
        <v/>
      </c>
      <c r="K875" s="14" t="n">
        <v>40.02</v>
      </c>
      <c r="L875" s="15" t="n">
        <v>65.04000000000001</v>
      </c>
      <c r="M875" s="14" t="n">
        <v>2975.98</v>
      </c>
      <c r="N875" s="14" t="n">
        <v>2898.3</v>
      </c>
      <c r="O875" s="14" t="n">
        <v>2662.18</v>
      </c>
      <c r="P875" s="4">
        <f>IF(O875="","",IF(F875&gt;O875,"Above","Below"))</f>
        <v/>
      </c>
      <c r="Q875" s="16" t="n">
        <v>172592</v>
      </c>
      <c r="R875" s="17" t="n">
        <v>0</v>
      </c>
      <c r="S875" s="17" t="n">
        <v>0</v>
      </c>
      <c r="T875" s="17" t="n">
        <v>0</v>
      </c>
      <c r="U875" s="18" t="n">
        <v>0</v>
      </c>
    </row>
    <row r="876">
      <c r="A876" s="13" t="n">
        <v>45742</v>
      </c>
      <c r="B876" s="4">
        <f>TEXT(A876,"ddd")</f>
        <v/>
      </c>
      <c r="C876" s="14" t="n">
        <v>3025.8</v>
      </c>
      <c r="D876" s="14" t="n">
        <v>3036.1</v>
      </c>
      <c r="E876" s="14" t="n">
        <v>3017.8</v>
      </c>
      <c r="F876" s="14" t="n">
        <v>3022.5</v>
      </c>
      <c r="G876" s="9">
        <f>F876-F875</f>
        <v/>
      </c>
      <c r="H876" s="10">
        <f>IF(F875=0,0,G876/F875)</f>
        <v/>
      </c>
      <c r="I876" s="8">
        <f>D876-E876</f>
        <v/>
      </c>
      <c r="J876" s="4">
        <f>IF(F876&gt;C876,"Up",IF(F876&lt;C876,"Down","Flat"))</f>
        <v/>
      </c>
      <c r="K876" s="14" t="n">
        <v>38.47</v>
      </c>
      <c r="L876" s="15" t="n">
        <v>64.09999999999999</v>
      </c>
      <c r="M876" s="14" t="n">
        <v>2980.41</v>
      </c>
      <c r="N876" s="14" t="n">
        <v>2903.17</v>
      </c>
      <c r="O876" s="14" t="n">
        <v>2665.77</v>
      </c>
      <c r="P876" s="4">
        <f>IF(O876="","",IF(F876&gt;O876,"Above","Below"))</f>
        <v/>
      </c>
      <c r="Q876" s="16" t="n">
        <v>172002</v>
      </c>
      <c r="R876" s="17" t="n">
        <v>0</v>
      </c>
      <c r="S876" s="17" t="n">
        <v>0</v>
      </c>
      <c r="T876" s="17" t="n">
        <v>0</v>
      </c>
      <c r="U876" s="18" t="n">
        <v>0</v>
      </c>
    </row>
    <row r="877">
      <c r="A877" s="13" t="n">
        <v>45743</v>
      </c>
      <c r="B877" s="4">
        <f>TEXT(A877,"ddd")</f>
        <v/>
      </c>
      <c r="C877" s="14" t="n">
        <v>3025.6</v>
      </c>
      <c r="D877" s="14" t="n">
        <v>3071.3</v>
      </c>
      <c r="E877" s="14" t="n">
        <v>3022.3</v>
      </c>
      <c r="F877" s="14" t="n">
        <v>3061</v>
      </c>
      <c r="G877" s="9">
        <f>F877-F876</f>
        <v/>
      </c>
      <c r="H877" s="10">
        <f>IF(F876=0,0,G877/F876)</f>
        <v/>
      </c>
      <c r="I877" s="8">
        <f>D877-E877</f>
        <v/>
      </c>
      <c r="J877" s="4">
        <f>IF(F877&gt;C877,"Up",IF(F877&lt;C877,"Down","Flat"))</f>
        <v/>
      </c>
      <c r="K877" s="14" t="n">
        <v>39.22</v>
      </c>
      <c r="L877" s="15" t="n">
        <v>69.48</v>
      </c>
      <c r="M877" s="14" t="n">
        <v>2988.09</v>
      </c>
      <c r="N877" s="14" t="n">
        <v>2909.36</v>
      </c>
      <c r="O877" s="14" t="n">
        <v>2669.7</v>
      </c>
      <c r="P877" s="4">
        <f>IF(O877="","",IF(F877&gt;O877,"Above","Below"))</f>
        <v/>
      </c>
      <c r="Q877" s="16" t="n">
        <v>124359</v>
      </c>
      <c r="R877" s="17" t="n">
        <v>0</v>
      </c>
      <c r="S877" s="17" t="n">
        <v>0</v>
      </c>
      <c r="T877" s="17" t="n">
        <v>0</v>
      </c>
      <c r="U877" s="18" t="n">
        <v>0</v>
      </c>
    </row>
    <row r="878">
      <c r="A878" s="13" t="n">
        <v>45744</v>
      </c>
      <c r="B878" s="4">
        <f>TEXT(A878,"ddd")</f>
        <v/>
      </c>
      <c r="C878" s="14" t="n">
        <v>3069.7</v>
      </c>
      <c r="D878" s="14" t="n">
        <v>3094.9</v>
      </c>
      <c r="E878" s="14" t="n">
        <v>3066.8</v>
      </c>
      <c r="F878" s="14" t="n">
        <v>3086.5</v>
      </c>
      <c r="G878" s="9">
        <f>F878-F877</f>
        <v/>
      </c>
      <c r="H878" s="10">
        <f>IF(F877=0,0,G878/F877)</f>
        <v/>
      </c>
      <c r="I878" s="8">
        <f>D878-E878</f>
        <v/>
      </c>
      <c r="J878" s="4">
        <f>IF(F878&gt;C878,"Up",IF(F878&lt;C878,"Down","Flat"))</f>
        <v/>
      </c>
      <c r="K878" s="14" t="n">
        <v>38.84</v>
      </c>
      <c r="L878" s="15" t="n">
        <v>72.42</v>
      </c>
      <c r="M878" s="14" t="n">
        <v>2997.46</v>
      </c>
      <c r="N878" s="14" t="n">
        <v>2916.31</v>
      </c>
      <c r="O878" s="14" t="n">
        <v>2673.85</v>
      </c>
      <c r="P878" s="4">
        <f>IF(O878="","",IF(F878&gt;O878,"Above","Below"))</f>
        <v/>
      </c>
      <c r="Q878" s="16" t="n">
        <v>31206</v>
      </c>
      <c r="R878" s="17" t="n">
        <v>0</v>
      </c>
      <c r="S878" s="17" t="n">
        <v>0</v>
      </c>
      <c r="T878" s="17" t="n">
        <v>0</v>
      </c>
      <c r="U878" s="18" t="n">
        <v>0</v>
      </c>
    </row>
    <row r="879">
      <c r="A879" s="13" t="n">
        <v>45747</v>
      </c>
      <c r="B879" s="4">
        <f>TEXT(A879,"ddd")</f>
        <v/>
      </c>
      <c r="C879" s="14" t="n">
        <v>3091</v>
      </c>
      <c r="D879" s="14" t="n">
        <v>3132.5</v>
      </c>
      <c r="E879" s="14" t="n">
        <v>3086</v>
      </c>
      <c r="F879" s="14" t="n">
        <v>3122.8</v>
      </c>
      <c r="G879" s="9">
        <f>F879-F878</f>
        <v/>
      </c>
      <c r="H879" s="10">
        <f>IF(F878=0,0,G879/F878)</f>
        <v/>
      </c>
      <c r="I879" s="8">
        <f>D879-E879</f>
        <v/>
      </c>
      <c r="J879" s="4">
        <f>IF(F879&gt;C879,"Up",IF(F879&lt;C879,"Down","Flat"))</f>
        <v/>
      </c>
      <c r="K879" s="14" t="n">
        <v>39.39</v>
      </c>
      <c r="L879" s="15" t="n">
        <v>75.98</v>
      </c>
      <c r="M879" s="14" t="n">
        <v>3009.4</v>
      </c>
      <c r="N879" s="14" t="n">
        <v>2924.4</v>
      </c>
      <c r="O879" s="14" t="n">
        <v>2678.32</v>
      </c>
      <c r="P879" s="4">
        <f>IF(O879="","",IF(F879&gt;O879,"Above","Below"))</f>
        <v/>
      </c>
      <c r="Q879" s="16" t="n">
        <v>228393</v>
      </c>
      <c r="R879" s="17" t="n">
        <v>0</v>
      </c>
      <c r="S879" s="17" t="n">
        <v>0</v>
      </c>
      <c r="T879" s="17" t="n">
        <v>0</v>
      </c>
      <c r="U879" s="18" t="n">
        <v>0</v>
      </c>
    </row>
    <row r="880">
      <c r="A880" s="13" t="n">
        <v>45748</v>
      </c>
      <c r="B880" s="4">
        <f>TEXT(A880,"ddd")</f>
        <v/>
      </c>
      <c r="C880" s="14" t="n">
        <v>3157.3</v>
      </c>
      <c r="D880" s="14" t="n">
        <v>3177</v>
      </c>
      <c r="E880" s="14" t="n">
        <v>3130.5</v>
      </c>
      <c r="F880" s="14" t="n">
        <v>3146</v>
      </c>
      <c r="G880" s="9">
        <f>F880-F879</f>
        <v/>
      </c>
      <c r="H880" s="10">
        <f>IF(F879=0,0,G880/F879)</f>
        <v/>
      </c>
      <c r="I880" s="8">
        <f>D880-E880</f>
        <v/>
      </c>
      <c r="J880" s="4">
        <f>IF(F880&gt;C880,"Up",IF(F880&lt;C880,"Down","Flat"))</f>
        <v/>
      </c>
      <c r="K880" s="14" t="n">
        <v>40.45</v>
      </c>
      <c r="L880" s="15" t="n">
        <v>77.93000000000001</v>
      </c>
      <c r="M880" s="14" t="n">
        <v>3022.41</v>
      </c>
      <c r="N880" s="14" t="n">
        <v>2933.09</v>
      </c>
      <c r="O880" s="14" t="n">
        <v>2682.97</v>
      </c>
      <c r="P880" s="4">
        <f>IF(O880="","",IF(F880&gt;O880,"Above","Below"))</f>
        <v/>
      </c>
      <c r="Q880" s="16" t="n">
        <v>197314</v>
      </c>
      <c r="R880" s="17" t="n">
        <v>0</v>
      </c>
      <c r="S880" s="17" t="n">
        <v>0</v>
      </c>
      <c r="T880" s="17" t="n">
        <v>0</v>
      </c>
      <c r="U880" s="18" t="n">
        <v>0</v>
      </c>
    </row>
    <row r="881">
      <c r="A881" s="13" t="n">
        <v>45749</v>
      </c>
      <c r="B881" s="4">
        <f>TEXT(A881,"ddd")</f>
        <v/>
      </c>
      <c r="C881" s="14" t="n">
        <v>3147.5</v>
      </c>
      <c r="D881" s="14" t="n">
        <v>3201.6</v>
      </c>
      <c r="E881" s="14" t="n">
        <v>3135.7</v>
      </c>
      <c r="F881" s="14" t="n">
        <v>3166.2</v>
      </c>
      <c r="G881" s="9">
        <f>F881-F880</f>
        <v/>
      </c>
      <c r="H881" s="10">
        <f>IF(F880=0,0,G881/F880)</f>
        <v/>
      </c>
      <c r="I881" s="8">
        <f>D881-E881</f>
        <v/>
      </c>
      <c r="J881" s="4">
        <f>IF(F881&gt;C881,"Up",IF(F881&lt;C881,"Down","Flat"))</f>
        <v/>
      </c>
      <c r="K881" s="14" t="n">
        <v>42.27</v>
      </c>
      <c r="L881" s="15" t="n">
        <v>79.5</v>
      </c>
      <c r="M881" s="14" t="n">
        <v>3036.1</v>
      </c>
      <c r="N881" s="14" t="n">
        <v>2942.24</v>
      </c>
      <c r="O881" s="14" t="n">
        <v>2687.78</v>
      </c>
      <c r="P881" s="4">
        <f>IF(O881="","",IF(F881&gt;O881,"Above","Below"))</f>
        <v/>
      </c>
      <c r="Q881" s="16" t="n">
        <v>223124</v>
      </c>
      <c r="R881" s="17" t="n">
        <v>0</v>
      </c>
      <c r="S881" s="17" t="n">
        <v>0</v>
      </c>
      <c r="T881" s="17" t="n">
        <v>0</v>
      </c>
      <c r="U881" s="18" t="n">
        <v>0</v>
      </c>
    </row>
    <row r="882">
      <c r="A882" s="13" t="n">
        <v>45750</v>
      </c>
      <c r="B882" s="4">
        <f>TEXT(A882,"ddd")</f>
        <v/>
      </c>
      <c r="C882" s="14" t="n">
        <v>3196.6</v>
      </c>
      <c r="D882" s="14" t="n">
        <v>3196.6</v>
      </c>
      <c r="E882" s="14" t="n">
        <v>3073.5</v>
      </c>
      <c r="F882" s="14" t="n">
        <v>3121.7</v>
      </c>
      <c r="G882" s="9">
        <f>F882-F881</f>
        <v/>
      </c>
      <c r="H882" s="10">
        <f>IF(F881=0,0,G882/F881)</f>
        <v/>
      </c>
      <c r="I882" s="8">
        <f>D882-E882</f>
        <v/>
      </c>
      <c r="J882" s="4">
        <f>IF(F882&gt;C882,"Up",IF(F882&lt;C882,"Down","Flat"))</f>
        <v/>
      </c>
      <c r="K882" s="14" t="n">
        <v>48.04</v>
      </c>
      <c r="L882" s="15" t="n">
        <v>68.04000000000001</v>
      </c>
      <c r="M882" s="14" t="n">
        <v>3044.25</v>
      </c>
      <c r="N882" s="14" t="n">
        <v>2949.27</v>
      </c>
      <c r="O882" s="14" t="n">
        <v>2692.09</v>
      </c>
      <c r="P882" s="4">
        <f>IF(O882="","",IF(F882&gt;O882,"Above","Below"))</f>
        <v/>
      </c>
      <c r="Q882" s="16" t="n">
        <v>382860</v>
      </c>
      <c r="R882" s="17" t="n">
        <v>0</v>
      </c>
      <c r="S882" s="17" t="n">
        <v>0</v>
      </c>
      <c r="T882" s="17" t="n">
        <v>0</v>
      </c>
      <c r="U882" s="18" t="n">
        <v>0</v>
      </c>
    </row>
    <row r="883">
      <c r="A883" s="13" t="n">
        <v>45751</v>
      </c>
      <c r="B883" s="4">
        <f>TEXT(A883,"ddd")</f>
        <v/>
      </c>
      <c r="C883" s="14" t="n">
        <v>3138</v>
      </c>
      <c r="D883" s="14" t="n">
        <v>3160.2</v>
      </c>
      <c r="E883" s="14" t="n">
        <v>3032.7</v>
      </c>
      <c r="F883" s="14" t="n">
        <v>3035.4</v>
      </c>
      <c r="G883" s="9">
        <f>F883-F882</f>
        <v/>
      </c>
      <c r="H883" s="10">
        <f>IF(F882=0,0,G883/F882)</f>
        <v/>
      </c>
      <c r="I883" s="8">
        <f>D883-E883</f>
        <v/>
      </c>
      <c r="J883" s="4">
        <f>IF(F883&gt;C883,"Up",IF(F883&lt;C883,"Down","Flat"))</f>
        <v/>
      </c>
      <c r="K883" s="14" t="n">
        <v>53.71</v>
      </c>
      <c r="L883" s="15" t="n">
        <v>52.3</v>
      </c>
      <c r="M883" s="14" t="n">
        <v>3043.41</v>
      </c>
      <c r="N883" s="14" t="n">
        <v>2952.65</v>
      </c>
      <c r="O883" s="14" t="n">
        <v>2695.51</v>
      </c>
      <c r="P883" s="4">
        <f>IF(O883="","",IF(F883&gt;O883,"Above","Below"))</f>
        <v/>
      </c>
      <c r="Q883" s="16" t="n">
        <v>341150</v>
      </c>
      <c r="R883" s="17" t="n">
        <v>0</v>
      </c>
      <c r="S883" s="17" t="n">
        <v>0</v>
      </c>
      <c r="T883" s="17" t="n">
        <v>0</v>
      </c>
      <c r="U883" s="18" t="n">
        <v>0</v>
      </c>
    </row>
    <row r="884">
      <c r="A884" s="13" t="n">
        <v>45754</v>
      </c>
      <c r="B884" s="4">
        <f>TEXT(A884,"ddd")</f>
        <v/>
      </c>
      <c r="C884" s="14" t="n">
        <v>3055.1</v>
      </c>
      <c r="D884" s="14" t="n">
        <v>3084.4</v>
      </c>
      <c r="E884" s="14" t="n">
        <v>2970.4</v>
      </c>
      <c r="F884" s="14" t="n">
        <v>2973.6</v>
      </c>
      <c r="G884" s="9">
        <f>F884-F883</f>
        <v/>
      </c>
      <c r="H884" s="10">
        <f>IF(F883=0,0,G884/F883)</f>
        <v/>
      </c>
      <c r="I884" s="8">
        <f>D884-E884</f>
        <v/>
      </c>
      <c r="J884" s="4">
        <f>IF(F884&gt;C884,"Up",IF(F884&lt;C884,"Down","Flat"))</f>
        <v/>
      </c>
      <c r="K884" s="14" t="n">
        <v>58.02</v>
      </c>
      <c r="L884" s="15" t="n">
        <v>44.38</v>
      </c>
      <c r="M884" s="14" t="n">
        <v>3036.76</v>
      </c>
      <c r="N884" s="14" t="n">
        <v>2953.47</v>
      </c>
      <c r="O884" s="14" t="n">
        <v>2698.28</v>
      </c>
      <c r="P884" s="4">
        <f>IF(O884="","",IF(F884&gt;O884,"Above","Below"))</f>
        <v/>
      </c>
      <c r="Q884" s="16" t="n">
        <v>328515</v>
      </c>
      <c r="R884" s="17" t="n">
        <v>0</v>
      </c>
      <c r="S884" s="17" t="n">
        <v>0</v>
      </c>
      <c r="T884" s="17" t="n">
        <v>0</v>
      </c>
      <c r="U884" s="18" t="n">
        <v>0</v>
      </c>
    </row>
    <row r="885">
      <c r="A885" s="13" t="n">
        <v>45755</v>
      </c>
      <c r="B885" s="4">
        <f>TEXT(A885,"ddd")</f>
        <v/>
      </c>
      <c r="C885" s="14" t="n">
        <v>2997.5</v>
      </c>
      <c r="D885" s="14" t="n">
        <v>3037.9</v>
      </c>
      <c r="E885" s="14" t="n">
        <v>2988.6</v>
      </c>
      <c r="F885" s="14" t="n">
        <v>2990.2</v>
      </c>
      <c r="G885" s="9">
        <f>F885-F884</f>
        <v/>
      </c>
      <c r="H885" s="10">
        <f>IF(F884=0,0,G885/F884)</f>
        <v/>
      </c>
      <c r="I885" s="8">
        <f>D885-E885</f>
        <v/>
      </c>
      <c r="J885" s="4">
        <f>IF(F885&gt;C885,"Up",IF(F885&lt;C885,"Down","Flat"))</f>
        <v/>
      </c>
      <c r="K885" s="14" t="n">
        <v>58.47</v>
      </c>
      <c r="L885" s="15" t="n">
        <v>46.72</v>
      </c>
      <c r="M885" s="14" t="n">
        <v>3032.33</v>
      </c>
      <c r="N885" s="14" t="n">
        <v>2954.91</v>
      </c>
      <c r="O885" s="14" t="n">
        <v>2701.18</v>
      </c>
      <c r="P885" s="4">
        <f>IF(O885="","",IF(F885&gt;O885,"Above","Below"))</f>
        <v/>
      </c>
      <c r="Q885" s="16" t="n">
        <v>197577</v>
      </c>
      <c r="R885" s="17" t="n">
        <v>0</v>
      </c>
      <c r="S885" s="17" t="n">
        <v>0</v>
      </c>
      <c r="T885" s="17" t="n">
        <v>0</v>
      </c>
      <c r="U885" s="18" t="n">
        <v>0</v>
      </c>
    </row>
    <row r="886">
      <c r="A886" s="13" t="n">
        <v>45756</v>
      </c>
      <c r="B886" s="4">
        <f>TEXT(A886,"ddd")</f>
        <v/>
      </c>
      <c r="C886" s="14" t="n">
        <v>2998.3</v>
      </c>
      <c r="D886" s="14" t="n">
        <v>3118.5</v>
      </c>
      <c r="E886" s="14" t="n">
        <v>2983.3</v>
      </c>
      <c r="F886" s="14" t="n">
        <v>3079.4</v>
      </c>
      <c r="G886" s="9">
        <f>F886-F885</f>
        <v/>
      </c>
      <c r="H886" s="10">
        <f>IF(F885=0,0,G886/F885)</f>
        <v/>
      </c>
      <c r="I886" s="8">
        <f>D886-E886</f>
        <v/>
      </c>
      <c r="J886" s="4">
        <f>IF(F886&gt;C886,"Up",IF(F886&lt;C886,"Down","Flat"))</f>
        <v/>
      </c>
      <c r="K886" s="14" t="n">
        <v>63.95</v>
      </c>
      <c r="L886" s="15" t="n">
        <v>57.13</v>
      </c>
      <c r="M886" s="14" t="n">
        <v>3036.81</v>
      </c>
      <c r="N886" s="14" t="n">
        <v>2959.8</v>
      </c>
      <c r="O886" s="14" t="n">
        <v>2704.95</v>
      </c>
      <c r="P886" s="4">
        <f>IF(O886="","",IF(F886&gt;O886,"Above","Below"))</f>
        <v/>
      </c>
      <c r="Q886" s="16" t="n">
        <v>298325</v>
      </c>
      <c r="R886" s="17" t="n">
        <v>0</v>
      </c>
      <c r="S886" s="17" t="n">
        <v>0</v>
      </c>
      <c r="T886" s="17" t="n">
        <v>0</v>
      </c>
      <c r="U886" s="18" t="n">
        <v>0</v>
      </c>
    </row>
    <row r="887">
      <c r="A887" s="13" t="n">
        <v>45757</v>
      </c>
      <c r="B887" s="4">
        <f>TEXT(A887,"ddd")</f>
        <v/>
      </c>
      <c r="C887" s="14" t="n">
        <v>3099.1</v>
      </c>
      <c r="D887" s="14" t="n">
        <v>3195</v>
      </c>
      <c r="E887" s="14" t="n">
        <v>3086.1</v>
      </c>
      <c r="F887" s="14" t="n">
        <v>3177.5</v>
      </c>
      <c r="G887" s="9">
        <f>F887-F886</f>
        <v/>
      </c>
      <c r="H887" s="10">
        <f>IF(F886=0,0,G887/F886)</f>
        <v/>
      </c>
      <c r="I887" s="8">
        <f>D887-E887</f>
        <v/>
      </c>
      <c r="J887" s="4">
        <f>IF(F887&gt;C887,"Up",IF(F887&lt;C887,"Down","Flat"))</f>
        <v/>
      </c>
      <c r="K887" s="14" t="n">
        <v>67.64</v>
      </c>
      <c r="L887" s="15" t="n">
        <v>65.18000000000001</v>
      </c>
      <c r="M887" s="14" t="n">
        <v>3050.21</v>
      </c>
      <c r="N887" s="14" t="n">
        <v>2968.33</v>
      </c>
      <c r="O887" s="14" t="n">
        <v>2709.65</v>
      </c>
      <c r="P887" s="4">
        <f>IF(O887="","",IF(F887&gt;O887,"Above","Below"))</f>
        <v/>
      </c>
      <c r="Q887" s="16" t="n">
        <v>234973</v>
      </c>
      <c r="R887" s="17" t="n">
        <v>0</v>
      </c>
      <c r="S887" s="17" t="n">
        <v>0</v>
      </c>
      <c r="T887" s="17" t="n">
        <v>0</v>
      </c>
      <c r="U887" s="18" t="n">
        <v>0</v>
      </c>
    </row>
    <row r="888">
      <c r="A888" s="13" t="n">
        <v>45758</v>
      </c>
      <c r="B888" s="4">
        <f>TEXT(A888,"ddd")</f>
        <v/>
      </c>
      <c r="C888" s="14" t="n">
        <v>3194.2</v>
      </c>
      <c r="D888" s="14" t="n">
        <v>3263</v>
      </c>
      <c r="E888" s="14" t="n">
        <v>3193.4</v>
      </c>
      <c r="F888" s="14" t="n">
        <v>3244.6</v>
      </c>
      <c r="G888" s="9">
        <f>F888-F887</f>
        <v/>
      </c>
      <c r="H888" s="10">
        <f>IF(F887=0,0,G888/F887)</f>
        <v/>
      </c>
      <c r="I888" s="8">
        <f>D888-E888</f>
        <v/>
      </c>
      <c r="J888" s="4">
        <f>IF(F888&gt;C888,"Up",IF(F888&lt;C888,"Down","Flat"))</f>
        <v/>
      </c>
      <c r="K888" s="14" t="n">
        <v>68.92</v>
      </c>
      <c r="L888" s="15" t="n">
        <v>69.42</v>
      </c>
      <c r="M888" s="14" t="n">
        <v>3068.72</v>
      </c>
      <c r="N888" s="14" t="n">
        <v>2979.17</v>
      </c>
      <c r="O888" s="14" t="n">
        <v>2714.97</v>
      </c>
      <c r="P888" s="4">
        <f>IF(O888="","",IF(F888&gt;O888,"Above","Below"))</f>
        <v/>
      </c>
      <c r="Q888" s="16" t="n">
        <v>247317</v>
      </c>
      <c r="R888" s="17" t="n">
        <v>0</v>
      </c>
      <c r="S888" s="17" t="n">
        <v>0</v>
      </c>
      <c r="T888" s="17" t="n">
        <v>0</v>
      </c>
      <c r="U888" s="18" t="n">
        <v>0</v>
      </c>
    </row>
    <row r="889">
      <c r="A889" s="13" t="n">
        <v>45761</v>
      </c>
      <c r="B889" s="4">
        <f>TEXT(A889,"ddd")</f>
        <v/>
      </c>
      <c r="C889" s="14" t="n">
        <v>3246</v>
      </c>
      <c r="D889" s="14" t="n">
        <v>3261.6</v>
      </c>
      <c r="E889" s="14" t="n">
        <v>3208.7</v>
      </c>
      <c r="F889" s="14" t="n">
        <v>3226.3</v>
      </c>
      <c r="G889" s="9">
        <f>F889-F888</f>
        <v/>
      </c>
      <c r="H889" s="10">
        <f>IF(F888=0,0,G889/F888)</f>
        <v/>
      </c>
      <c r="I889" s="8">
        <f>D889-E889</f>
        <v/>
      </c>
      <c r="J889" s="4">
        <f>IF(F889&gt;C889,"Up",IF(F889&lt;C889,"Down","Flat"))</f>
        <v/>
      </c>
      <c r="K889" s="14" t="n">
        <v>67.77</v>
      </c>
      <c r="L889" s="15" t="n">
        <v>67.02</v>
      </c>
      <c r="M889" s="14" t="n">
        <v>3083.73</v>
      </c>
      <c r="N889" s="14" t="n">
        <v>2988.86</v>
      </c>
      <c r="O889" s="14" t="n">
        <v>2720.06</v>
      </c>
      <c r="P889" s="4">
        <f>IF(O889="","",IF(F889&gt;O889,"Above","Below"))</f>
        <v/>
      </c>
      <c r="Q889" s="16" t="n">
        <v>189619</v>
      </c>
      <c r="R889" s="17" t="n">
        <v>0</v>
      </c>
      <c r="S889" s="17" t="n">
        <v>0</v>
      </c>
      <c r="T889" s="17" t="n">
        <v>0</v>
      </c>
      <c r="U889" s="18" t="n">
        <v>0</v>
      </c>
    </row>
    <row r="890">
      <c r="A890" s="13" t="n">
        <v>45762</v>
      </c>
      <c r="B890" s="4">
        <f>TEXT(A890,"ddd")</f>
        <v/>
      </c>
      <c r="C890" s="14" t="n">
        <v>3226.1</v>
      </c>
      <c r="D890" s="14" t="n">
        <v>3250.9</v>
      </c>
      <c r="E890" s="14" t="n">
        <v>3225.5</v>
      </c>
      <c r="F890" s="14" t="n">
        <v>3240.4</v>
      </c>
      <c r="G890" s="9">
        <f>F890-F889</f>
        <v/>
      </c>
      <c r="H890" s="10">
        <f>IF(F889=0,0,G890/F889)</f>
        <v/>
      </c>
      <c r="I890" s="8">
        <f>D890-E890</f>
        <v/>
      </c>
      <c r="J890" s="4">
        <f>IF(F890&gt;C890,"Up",IF(F890&lt;C890,"Down","Flat"))</f>
        <v/>
      </c>
      <c r="K890" s="14" t="n">
        <v>64.73999999999999</v>
      </c>
      <c r="L890" s="15" t="n">
        <v>67.94</v>
      </c>
      <c r="M890" s="14" t="n">
        <v>3098.65</v>
      </c>
      <c r="N890" s="14" t="n">
        <v>2998.72</v>
      </c>
      <c r="O890" s="14" t="n">
        <v>2725.24</v>
      </c>
      <c r="P890" s="4">
        <f>IF(O890="","",IF(F890&gt;O890,"Above","Below"))</f>
        <v/>
      </c>
      <c r="Q890" s="16" t="n">
        <v>123474</v>
      </c>
      <c r="R890" s="17" t="n">
        <v>0</v>
      </c>
      <c r="S890" s="17" t="n">
        <v>0</v>
      </c>
      <c r="T890" s="17" t="n">
        <v>0</v>
      </c>
      <c r="U890" s="18" t="n">
        <v>0</v>
      </c>
    </row>
    <row r="891">
      <c r="A891" s="13" t="n">
        <v>45763</v>
      </c>
      <c r="B891" s="4">
        <f>TEXT(A891,"ddd")</f>
        <v/>
      </c>
      <c r="C891" s="14" t="n">
        <v>3248.4</v>
      </c>
      <c r="D891" s="14" t="n">
        <v>3358.4</v>
      </c>
      <c r="E891" s="14" t="n">
        <v>3245.2</v>
      </c>
      <c r="F891" s="14" t="n">
        <v>3346.4</v>
      </c>
      <c r="G891" s="9">
        <f>F891-F890</f>
        <v/>
      </c>
      <c r="H891" s="10">
        <f>IF(F890=0,0,G891/F890)</f>
        <v/>
      </c>
      <c r="I891" s="8">
        <f>D891-E891</f>
        <v/>
      </c>
      <c r="J891" s="4">
        <f>IF(F891&gt;C891,"Up",IF(F891&lt;C891,"Down","Flat"))</f>
        <v/>
      </c>
      <c r="K891" s="14" t="n">
        <v>68.55</v>
      </c>
      <c r="L891" s="15" t="n">
        <v>73.83</v>
      </c>
      <c r="M891" s="14" t="n">
        <v>3122.25</v>
      </c>
      <c r="N891" s="14" t="n">
        <v>3012.36</v>
      </c>
      <c r="O891" s="14" t="n">
        <v>2731.42</v>
      </c>
      <c r="P891" s="4">
        <f>IF(O891="","",IF(F891&gt;O891,"Above","Below"))</f>
        <v/>
      </c>
      <c r="Q891" s="16" t="n">
        <v>258376</v>
      </c>
      <c r="R891" s="17" t="n">
        <v>0</v>
      </c>
      <c r="S891" s="17" t="n">
        <v>0</v>
      </c>
      <c r="T891" s="17" t="n">
        <v>0</v>
      </c>
      <c r="U891" s="18" t="n">
        <v>0</v>
      </c>
    </row>
    <row r="892">
      <c r="A892" s="13" t="n">
        <v>45764</v>
      </c>
      <c r="B892" s="4">
        <f>TEXT(A892,"ddd")</f>
        <v/>
      </c>
      <c r="C892" s="14" t="n">
        <v>3357.5</v>
      </c>
      <c r="D892" s="14" t="n">
        <v>3371.9</v>
      </c>
      <c r="E892" s="14" t="n">
        <v>3296.4</v>
      </c>
      <c r="F892" s="14" t="n">
        <v>3328.4</v>
      </c>
      <c r="G892" s="9">
        <f>F892-F891</f>
        <v/>
      </c>
      <c r="H892" s="10">
        <f>IF(F891=0,0,G892/F891)</f>
        <v/>
      </c>
      <c r="I892" s="8">
        <f>D892-E892</f>
        <v/>
      </c>
      <c r="J892" s="4">
        <f>IF(F892&gt;C892,"Up",IF(F892&lt;C892,"Down","Flat"))</f>
        <v/>
      </c>
      <c r="K892" s="14" t="n">
        <v>69.05</v>
      </c>
      <c r="L892" s="15" t="n">
        <v>71.43000000000001</v>
      </c>
      <c r="M892" s="14" t="n">
        <v>3141.88</v>
      </c>
      <c r="N892" s="14" t="n">
        <v>3024.75</v>
      </c>
      <c r="O892" s="14" t="n">
        <v>2737.36</v>
      </c>
      <c r="P892" s="4">
        <f>IF(O892="","",IF(F892&gt;O892,"Above","Below"))</f>
        <v/>
      </c>
      <c r="Q892" s="16" t="n">
        <v>242065</v>
      </c>
      <c r="R892" s="17" t="n">
        <v>0</v>
      </c>
      <c r="S892" s="17" t="n">
        <v>0</v>
      </c>
      <c r="T892" s="17" t="n">
        <v>0</v>
      </c>
      <c r="U892" s="18" t="n">
        <v>0</v>
      </c>
    </row>
    <row r="893">
      <c r="A893" s="13" t="n">
        <v>45768</v>
      </c>
      <c r="B893" s="4">
        <f>TEXT(A893,"ddd")</f>
        <v/>
      </c>
      <c r="C893" s="14" t="n">
        <v>3347</v>
      </c>
      <c r="D893" s="14" t="n">
        <v>3442.3</v>
      </c>
      <c r="E893" s="14" t="n">
        <v>3344</v>
      </c>
      <c r="F893" s="14" t="n">
        <v>3425.3</v>
      </c>
      <c r="G893" s="9">
        <f>F893-F892</f>
        <v/>
      </c>
      <c r="H893" s="10">
        <f>IF(F892=0,0,G893/F892)</f>
        <v/>
      </c>
      <c r="I893" s="8">
        <f>D893-E893</f>
        <v/>
      </c>
      <c r="J893" s="4">
        <f>IF(F893&gt;C893,"Up",IF(F893&lt;C893,"Down","Flat"))</f>
        <v/>
      </c>
      <c r="K893" s="14" t="n">
        <v>72.25</v>
      </c>
      <c r="L893" s="15" t="n">
        <v>75.95999999999999</v>
      </c>
      <c r="M893" s="14" t="n">
        <v>3168.87</v>
      </c>
      <c r="N893" s="14" t="n">
        <v>3040.46</v>
      </c>
      <c r="O893" s="14" t="n">
        <v>2744.2</v>
      </c>
      <c r="P893" s="4">
        <f>IF(O893="","",IF(F893&gt;O893,"Above","Below"))</f>
        <v/>
      </c>
      <c r="Q893" s="16" t="n">
        <v>243457</v>
      </c>
      <c r="R893" s="17" t="n">
        <v>0</v>
      </c>
      <c r="S893" s="17" t="n">
        <v>0</v>
      </c>
      <c r="T893" s="17" t="n">
        <v>0</v>
      </c>
      <c r="U893" s="18" t="n">
        <v>0</v>
      </c>
    </row>
    <row r="894">
      <c r="A894" s="13" t="n">
        <v>45769</v>
      </c>
      <c r="B894" s="4">
        <f>TEXT(A894,"ddd")</f>
        <v/>
      </c>
      <c r="C894" s="14" t="n">
        <v>3435.1</v>
      </c>
      <c r="D894" s="14" t="n">
        <v>3509.9</v>
      </c>
      <c r="E894" s="14" t="n">
        <v>3379.1</v>
      </c>
      <c r="F894" s="14" t="n">
        <v>3419.4</v>
      </c>
      <c r="G894" s="9">
        <f>F894-F893</f>
        <v/>
      </c>
      <c r="H894" s="10">
        <f>IF(F893=0,0,G894/F893)</f>
        <v/>
      </c>
      <c r="I894" s="8">
        <f>D894-E894</f>
        <v/>
      </c>
      <c r="J894" s="4">
        <f>IF(F894&gt;C894,"Up",IF(F894&lt;C894,"Down","Flat"))</f>
        <v/>
      </c>
      <c r="K894" s="14" t="n">
        <v>76.43000000000001</v>
      </c>
      <c r="L894" s="15" t="n">
        <v>75.18000000000001</v>
      </c>
      <c r="M894" s="14" t="n">
        <v>3192.73</v>
      </c>
      <c r="N894" s="14" t="n">
        <v>3055.32</v>
      </c>
      <c r="O894" s="14" t="n">
        <v>2750.92</v>
      </c>
      <c r="P894" s="4">
        <f>IF(O894="","",IF(F894&gt;O894,"Above","Below"))</f>
        <v/>
      </c>
      <c r="Q894" s="16" t="n">
        <v>423078</v>
      </c>
      <c r="R894" s="17" t="n">
        <v>0</v>
      </c>
      <c r="S894" s="17" t="n">
        <v>0</v>
      </c>
      <c r="T894" s="17" t="n">
        <v>0</v>
      </c>
      <c r="U894" s="18" t="n">
        <v>0</v>
      </c>
    </row>
    <row r="895">
      <c r="A895" s="13" t="n">
        <v>45770</v>
      </c>
      <c r="B895" s="4">
        <f>TEXT(A895,"ddd")</f>
        <v/>
      </c>
      <c r="C895" s="14" t="n">
        <v>3367.7</v>
      </c>
      <c r="D895" s="14" t="n">
        <v>3396</v>
      </c>
      <c r="E895" s="14" t="n">
        <v>3270.8</v>
      </c>
      <c r="F895" s="14" t="n">
        <v>3294.1</v>
      </c>
      <c r="G895" s="9">
        <f>F895-F894</f>
        <v/>
      </c>
      <c r="H895" s="10">
        <f>IF(F894=0,0,G895/F894)</f>
        <v/>
      </c>
      <c r="I895" s="8">
        <f>D895-E895</f>
        <v/>
      </c>
      <c r="J895" s="4">
        <f>IF(F895&gt;C895,"Up",IF(F895&lt;C895,"Down","Flat"))</f>
        <v/>
      </c>
      <c r="K895" s="14" t="n">
        <v>81.59</v>
      </c>
      <c r="L895" s="15" t="n">
        <v>60.85</v>
      </c>
      <c r="M895" s="14" t="n">
        <v>3202.39</v>
      </c>
      <c r="N895" s="14" t="n">
        <v>3064.68</v>
      </c>
      <c r="O895" s="14" t="n">
        <v>2756.33</v>
      </c>
      <c r="P895" s="4">
        <f>IF(O895="","",IF(F895&gt;O895,"Above","Below"))</f>
        <v/>
      </c>
      <c r="Q895" s="16" t="n">
        <v>377411</v>
      </c>
      <c r="R895" s="17" t="n">
        <v>0</v>
      </c>
      <c r="S895" s="17" t="n">
        <v>0</v>
      </c>
      <c r="T895" s="17" t="n">
        <v>0</v>
      </c>
      <c r="U895" s="18" t="n">
        <v>0</v>
      </c>
    </row>
    <row r="896">
      <c r="A896" s="13" t="n">
        <v>45771</v>
      </c>
      <c r="B896" s="4">
        <f>TEXT(A896,"ddd")</f>
        <v/>
      </c>
      <c r="C896" s="14" t="n">
        <v>3301.8</v>
      </c>
      <c r="D896" s="14" t="n">
        <v>3377</v>
      </c>
      <c r="E896" s="14" t="n">
        <v>3301.3</v>
      </c>
      <c r="F896" s="14" t="n">
        <v>3348.6</v>
      </c>
      <c r="G896" s="9">
        <f>F896-F895</f>
        <v/>
      </c>
      <c r="H896" s="10">
        <f>IF(F895=0,0,G896/F895)</f>
        <v/>
      </c>
      <c r="I896" s="8">
        <f>D896-E896</f>
        <v/>
      </c>
      <c r="J896" s="4">
        <f>IF(F896&gt;C896,"Up",IF(F896&lt;C896,"Down","Flat"))</f>
        <v/>
      </c>
      <c r="K896" s="14" t="n">
        <v>81.68000000000001</v>
      </c>
      <c r="L896" s="15" t="n">
        <v>64.06</v>
      </c>
      <c r="M896" s="14" t="n">
        <v>3216.31</v>
      </c>
      <c r="N896" s="14" t="n">
        <v>3075.82</v>
      </c>
      <c r="O896" s="14" t="n">
        <v>2762.22</v>
      </c>
      <c r="P896" s="4">
        <f>IF(O896="","",IF(F896&gt;O896,"Above","Below"))</f>
        <v/>
      </c>
      <c r="Q896" s="16" t="n">
        <v>239603</v>
      </c>
      <c r="R896" s="17" t="n">
        <v>0</v>
      </c>
      <c r="S896" s="17" t="n">
        <v>0</v>
      </c>
      <c r="T896" s="17" t="n">
        <v>0</v>
      </c>
      <c r="U896" s="18" t="n">
        <v>0</v>
      </c>
    </row>
    <row r="897">
      <c r="A897" s="13" t="n">
        <v>45772</v>
      </c>
      <c r="B897" s="4">
        <f>TEXT(A897,"ddd")</f>
        <v/>
      </c>
      <c r="C897" s="14" t="n">
        <v>3362</v>
      </c>
      <c r="D897" s="14" t="n">
        <v>3384.1</v>
      </c>
      <c r="E897" s="14" t="n">
        <v>3274.8</v>
      </c>
      <c r="F897" s="14" t="n">
        <v>3298.4</v>
      </c>
      <c r="G897" s="9">
        <f>F897-F896</f>
        <v/>
      </c>
      <c r="H897" s="10">
        <f>IF(F896=0,0,G897/F896)</f>
        <v/>
      </c>
      <c r="I897" s="8">
        <f>D897-E897</f>
        <v/>
      </c>
      <c r="J897" s="4">
        <f>IF(F897&gt;C897,"Up",IF(F897&lt;C897,"Down","Flat"))</f>
        <v/>
      </c>
      <c r="K897" s="14" t="n">
        <v>83.65000000000001</v>
      </c>
      <c r="L897" s="15" t="n">
        <v>59.25</v>
      </c>
      <c r="M897" s="14" t="n">
        <v>3224.13</v>
      </c>
      <c r="N897" s="14" t="n">
        <v>3084.55</v>
      </c>
      <c r="O897" s="14" t="n">
        <v>2767.55</v>
      </c>
      <c r="P897" s="4">
        <f>IF(O897="","",IF(F897&gt;O897,"Above","Below"))</f>
        <v/>
      </c>
      <c r="Q897" s="16" t="n">
        <v>241249</v>
      </c>
      <c r="R897" s="17" t="n">
        <v>0</v>
      </c>
      <c r="S897" s="17" t="n">
        <v>0</v>
      </c>
      <c r="T897" s="17" t="n">
        <v>0</v>
      </c>
      <c r="U897" s="18" t="n">
        <v>0</v>
      </c>
    </row>
    <row r="898">
      <c r="A898" s="13" t="n">
        <v>45775</v>
      </c>
      <c r="B898" s="4">
        <f>TEXT(A898,"ddd")</f>
        <v/>
      </c>
      <c r="C898" s="14" t="n">
        <v>3336.5</v>
      </c>
      <c r="D898" s="14" t="n">
        <v>3363.8</v>
      </c>
      <c r="E898" s="14" t="n">
        <v>3278</v>
      </c>
      <c r="F898" s="14" t="n">
        <v>3347.7</v>
      </c>
      <c r="G898" s="9">
        <f>F898-F897</f>
        <v/>
      </c>
      <c r="H898" s="10">
        <f>IF(F897=0,0,G898/F897)</f>
        <v/>
      </c>
      <c r="I898" s="8">
        <f>D898-E898</f>
        <v/>
      </c>
      <c r="J898" s="4">
        <f>IF(F898&gt;C898,"Up",IF(F898&lt;C898,"Down","Flat"))</f>
        <v/>
      </c>
      <c r="K898" s="14" t="n">
        <v>83.81</v>
      </c>
      <c r="L898" s="15" t="n">
        <v>62.25</v>
      </c>
      <c r="M898" s="14" t="n">
        <v>3235.9</v>
      </c>
      <c r="N898" s="14" t="n">
        <v>3094.87</v>
      </c>
      <c r="O898" s="14" t="n">
        <v>2773.33</v>
      </c>
      <c r="P898" s="4">
        <f>IF(O898="","",IF(F898&gt;O898,"Above","Below"))</f>
        <v/>
      </c>
      <c r="Q898" s="16" t="n">
        <v>217995</v>
      </c>
      <c r="R898" s="17" t="n">
        <v>0</v>
      </c>
      <c r="S898" s="17" t="n">
        <v>0</v>
      </c>
      <c r="T898" s="17" t="n">
        <v>0</v>
      </c>
      <c r="U898" s="18" t="n">
        <v>0</v>
      </c>
    </row>
    <row r="899">
      <c r="A899" s="13" t="n">
        <v>45776</v>
      </c>
      <c r="B899" s="4">
        <f>TEXT(A899,"ddd")</f>
        <v/>
      </c>
      <c r="C899" s="14" t="n">
        <v>3354.9</v>
      </c>
      <c r="D899" s="14" t="n">
        <v>3359.3</v>
      </c>
      <c r="E899" s="14" t="n">
        <v>3309.2</v>
      </c>
      <c r="F899" s="14" t="n">
        <v>3333.6</v>
      </c>
      <c r="G899" s="9">
        <f>F899-F898</f>
        <v/>
      </c>
      <c r="H899" s="10">
        <f>IF(F898=0,0,G899/F898)</f>
        <v/>
      </c>
      <c r="I899" s="8">
        <f>D899-E899</f>
        <v/>
      </c>
      <c r="J899" s="4">
        <f>IF(F899&gt;C899,"Up",IF(F899&lt;C899,"Down","Flat"))</f>
        <v/>
      </c>
      <c r="K899" s="14" t="n">
        <v>81.40000000000001</v>
      </c>
      <c r="L899" s="15" t="n">
        <v>60.87</v>
      </c>
      <c r="M899" s="14" t="n">
        <v>3245.2</v>
      </c>
      <c r="N899" s="14" t="n">
        <v>3104.23</v>
      </c>
      <c r="O899" s="14" t="n">
        <v>2778.9</v>
      </c>
      <c r="P899" s="4">
        <f>IF(O899="","",IF(F899&gt;O899,"Above","Below"))</f>
        <v/>
      </c>
      <c r="Q899" s="16" t="n">
        <v>170152</v>
      </c>
      <c r="R899" s="17" t="n">
        <v>0</v>
      </c>
      <c r="S899" s="17" t="n">
        <v>0</v>
      </c>
      <c r="T899" s="17" t="n">
        <v>0</v>
      </c>
      <c r="U899" s="18" t="n">
        <v>0</v>
      </c>
    </row>
    <row r="900">
      <c r="A900" s="13" t="n">
        <v>45777</v>
      </c>
      <c r="B900" s="4">
        <f>TEXT(A900,"ddd")</f>
        <v/>
      </c>
      <c r="C900" s="14" t="n">
        <v>3324.5</v>
      </c>
      <c r="D900" s="14" t="n">
        <v>3337.6</v>
      </c>
      <c r="E900" s="14" t="n">
        <v>3275.6</v>
      </c>
      <c r="F900" s="14" t="n">
        <v>3319.1</v>
      </c>
      <c r="G900" s="9">
        <f>F900-F899</f>
        <v/>
      </c>
      <c r="H900" s="10">
        <f>IF(F899=0,0,G900/F899)</f>
        <v/>
      </c>
      <c r="I900" s="8">
        <f>D900-E900</f>
        <v/>
      </c>
      <c r="J900" s="4">
        <f>IF(F900&gt;C900,"Up",IF(F900&lt;C900,"Down","Flat"))</f>
        <v/>
      </c>
      <c r="K900" s="14" t="n">
        <v>80.01000000000001</v>
      </c>
      <c r="L900" s="15" t="n">
        <v>59.41</v>
      </c>
      <c r="M900" s="14" t="n">
        <v>3252.24</v>
      </c>
      <c r="N900" s="14" t="n">
        <v>3112.65</v>
      </c>
      <c r="O900" s="14" t="n">
        <v>2784.28</v>
      </c>
      <c r="P900" s="4">
        <f>IF(O900="","",IF(F900&gt;O900,"Above","Below"))</f>
        <v/>
      </c>
      <c r="Q900" s="16" t="n">
        <v>207722</v>
      </c>
      <c r="R900" s="17" t="n">
        <v>0</v>
      </c>
      <c r="S900" s="17" t="n">
        <v>0</v>
      </c>
      <c r="T900" s="17" t="n">
        <v>0</v>
      </c>
      <c r="U900" s="18" t="n">
        <v>0</v>
      </c>
    </row>
    <row r="901">
      <c r="A901" s="13" t="n">
        <v>45778</v>
      </c>
      <c r="B901" s="4">
        <f>TEXT(A901,"ddd")</f>
        <v/>
      </c>
      <c r="C901" s="14" t="n">
        <v>3299</v>
      </c>
      <c r="D901" s="14" t="n">
        <v>3300.6</v>
      </c>
      <c r="E901" s="14" t="n">
        <v>3209.4</v>
      </c>
      <c r="F901" s="14" t="n">
        <v>3222.2</v>
      </c>
      <c r="G901" s="9">
        <f>F901-F900</f>
        <v/>
      </c>
      <c r="H901" s="10">
        <f>IF(F900=0,0,G901/F900)</f>
        <v/>
      </c>
      <c r="I901" s="8">
        <f>D901-E901</f>
        <v/>
      </c>
      <c r="J901" s="4">
        <f>IF(F901&gt;C901,"Up",IF(F901&lt;C901,"Down","Flat"))</f>
        <v/>
      </c>
      <c r="K901" s="14" t="n">
        <v>82.13</v>
      </c>
      <c r="L901" s="15" t="n">
        <v>50.66</v>
      </c>
      <c r="M901" s="14" t="n">
        <v>3249.38</v>
      </c>
      <c r="N901" s="14" t="n">
        <v>3116.95</v>
      </c>
      <c r="O901" s="14" t="n">
        <v>2788.63</v>
      </c>
      <c r="P901" s="4">
        <f>IF(O901="","",IF(F901&gt;O901,"Above","Below"))</f>
        <v/>
      </c>
      <c r="Q901" s="16" t="n">
        <v>214691</v>
      </c>
      <c r="R901" s="17" t="n">
        <v>0</v>
      </c>
      <c r="S901" s="17" t="n">
        <v>0</v>
      </c>
      <c r="T901" s="17" t="n">
        <v>0</v>
      </c>
      <c r="U901" s="18" t="n">
        <v>0</v>
      </c>
    </row>
    <row r="902">
      <c r="A902" s="13" t="n">
        <v>45779</v>
      </c>
      <c r="B902" s="4">
        <f>TEXT(A902,"ddd")</f>
        <v/>
      </c>
      <c r="C902" s="14" t="n">
        <v>3247.6</v>
      </c>
      <c r="D902" s="14" t="n">
        <v>3277</v>
      </c>
      <c r="E902" s="14" t="n">
        <v>3229.5</v>
      </c>
      <c r="F902" s="14" t="n">
        <v>3243.3</v>
      </c>
      <c r="G902" s="9">
        <f>F902-F901</f>
        <v/>
      </c>
      <c r="H902" s="10">
        <f>IF(F901=0,0,G902/F901)</f>
        <v/>
      </c>
      <c r="I902" s="8">
        <f>D902-E902</f>
        <v/>
      </c>
      <c r="J902" s="4">
        <f>IF(F902&gt;C902,"Up",IF(F902&lt;C902,"Down","Flat"))</f>
        <v/>
      </c>
      <c r="K902" s="14" t="n">
        <v>80.18000000000001</v>
      </c>
      <c r="L902" s="15" t="n">
        <v>52.31</v>
      </c>
      <c r="M902" s="14" t="n">
        <v>3248.8</v>
      </c>
      <c r="N902" s="14" t="n">
        <v>3121.9</v>
      </c>
      <c r="O902" s="14" t="n">
        <v>2793.16</v>
      </c>
      <c r="P902" s="4">
        <f>IF(O902="","",IF(F902&gt;O902,"Above","Below"))</f>
        <v/>
      </c>
      <c r="Q902" s="16" t="n">
        <v>210994</v>
      </c>
      <c r="R902" s="17" t="n">
        <v>0</v>
      </c>
      <c r="S902" s="17" t="n">
        <v>0</v>
      </c>
      <c r="T902" s="17" t="n">
        <v>0</v>
      </c>
      <c r="U902" s="18" t="n">
        <v>0</v>
      </c>
    </row>
    <row r="903">
      <c r="A903" s="13" t="n">
        <v>45782</v>
      </c>
      <c r="B903" s="4">
        <f>TEXT(A903,"ddd")</f>
        <v/>
      </c>
      <c r="C903" s="14" t="n">
        <v>3247.1</v>
      </c>
      <c r="D903" s="14" t="n">
        <v>3346.7</v>
      </c>
      <c r="E903" s="14" t="n">
        <v>3243.1</v>
      </c>
      <c r="F903" s="14" t="n">
        <v>3322.3</v>
      </c>
      <c r="G903" s="9">
        <f>F903-F902</f>
        <v/>
      </c>
      <c r="H903" s="10">
        <f>IF(F902=0,0,G903/F902)</f>
        <v/>
      </c>
      <c r="I903" s="8">
        <f>D903-E903</f>
        <v/>
      </c>
      <c r="J903" s="4">
        <f>IF(F903&gt;C903,"Up",IF(F903&lt;C903,"Down","Flat"))</f>
        <v/>
      </c>
      <c r="K903" s="14" t="n">
        <v>81.84999999999999</v>
      </c>
      <c r="L903" s="15" t="n">
        <v>57.96</v>
      </c>
      <c r="M903" s="14" t="n">
        <v>3255.8</v>
      </c>
      <c r="N903" s="14" t="n">
        <v>3129.76</v>
      </c>
      <c r="O903" s="14" t="n">
        <v>2798.42</v>
      </c>
      <c r="P903" s="4">
        <f>IF(O903="","",IF(F903&gt;O903,"Above","Below"))</f>
        <v/>
      </c>
      <c r="Q903" s="16" t="n">
        <v>184904</v>
      </c>
      <c r="R903" s="17" t="n">
        <v>0</v>
      </c>
      <c r="S903" s="17" t="n">
        <v>0</v>
      </c>
      <c r="T903" s="17" t="n">
        <v>0</v>
      </c>
      <c r="U903" s="18" t="n">
        <v>0</v>
      </c>
    </row>
    <row r="904">
      <c r="A904" s="13" t="n">
        <v>45783</v>
      </c>
      <c r="B904" s="4">
        <f>TEXT(A904,"ddd")</f>
        <v/>
      </c>
      <c r="C904" s="14" t="n">
        <v>3345.7</v>
      </c>
      <c r="D904" s="14" t="n">
        <v>3444.5</v>
      </c>
      <c r="E904" s="14" t="n">
        <v>3332.1</v>
      </c>
      <c r="F904" s="14" t="n">
        <v>3422.8</v>
      </c>
      <c r="G904" s="9">
        <f>F904-F903</f>
        <v/>
      </c>
      <c r="H904" s="10">
        <f>IF(F903=0,0,G904/F903)</f>
        <v/>
      </c>
      <c r="I904" s="8">
        <f>D904-E904</f>
        <v/>
      </c>
      <c r="J904" s="4">
        <f>IF(F904&gt;C904,"Up",IF(F904&lt;C904,"Down","Flat"))</f>
        <v/>
      </c>
      <c r="K904" s="14" t="n">
        <v>84.73999999999999</v>
      </c>
      <c r="L904" s="15" t="n">
        <v>63.84</v>
      </c>
      <c r="M904" s="14" t="n">
        <v>3271.71</v>
      </c>
      <c r="N904" s="14" t="n">
        <v>3141.26</v>
      </c>
      <c r="O904" s="14" t="n">
        <v>2804.64</v>
      </c>
      <c r="P904" s="4">
        <f>IF(O904="","",IF(F904&gt;O904,"Above","Below"))</f>
        <v/>
      </c>
      <c r="Q904" s="16" t="n">
        <v>268098</v>
      </c>
      <c r="R904" s="17" t="n">
        <v>0</v>
      </c>
      <c r="S904" s="17" t="n">
        <v>0</v>
      </c>
      <c r="T904" s="17" t="n">
        <v>0</v>
      </c>
      <c r="U904" s="18" t="n">
        <v>0</v>
      </c>
    </row>
    <row r="905">
      <c r="A905" s="13" t="n">
        <v>45784</v>
      </c>
      <c r="B905" s="4">
        <f>TEXT(A905,"ddd")</f>
        <v/>
      </c>
      <c r="C905" s="14" t="n">
        <v>3448.1</v>
      </c>
      <c r="D905" s="14" t="n">
        <v>3448.2</v>
      </c>
      <c r="E905" s="14" t="n">
        <v>3367</v>
      </c>
      <c r="F905" s="14" t="n">
        <v>3391.9</v>
      </c>
      <c r="G905" s="9">
        <f>F905-F904</f>
        <v/>
      </c>
      <c r="H905" s="10">
        <f>IF(F904=0,0,G905/F904)</f>
        <v/>
      </c>
      <c r="I905" s="8">
        <f>D905-E905</f>
        <v/>
      </c>
      <c r="J905" s="4">
        <f>IF(F905&gt;C905,"Up",IF(F905&lt;C905,"Down","Flat"))</f>
        <v/>
      </c>
      <c r="K905" s="14" t="n">
        <v>84.48</v>
      </c>
      <c r="L905" s="15" t="n">
        <v>61.02</v>
      </c>
      <c r="M905" s="14" t="n">
        <v>3283.15</v>
      </c>
      <c r="N905" s="14" t="n">
        <v>3151.08</v>
      </c>
      <c r="O905" s="14" t="n">
        <v>2810.48</v>
      </c>
      <c r="P905" s="4">
        <f>IF(O905="","",IF(F905&gt;O905,"Above","Below"))</f>
        <v/>
      </c>
      <c r="Q905" s="16" t="n">
        <v>304244</v>
      </c>
      <c r="R905" s="17" t="n">
        <v>0</v>
      </c>
      <c r="S905" s="17" t="n">
        <v>0</v>
      </c>
      <c r="T905" s="17" t="n">
        <v>0</v>
      </c>
      <c r="U905" s="18" t="n">
        <v>0</v>
      </c>
    </row>
    <row r="906">
      <c r="A906" s="13" t="n">
        <v>45785</v>
      </c>
      <c r="B906" s="4">
        <f>TEXT(A906,"ddd")</f>
        <v/>
      </c>
      <c r="C906" s="14" t="n">
        <v>3373.1</v>
      </c>
      <c r="D906" s="14" t="n">
        <v>3422</v>
      </c>
      <c r="E906" s="14" t="n">
        <v>3293.3</v>
      </c>
      <c r="F906" s="14" t="n">
        <v>3306</v>
      </c>
      <c r="G906" s="9">
        <f>F906-F905</f>
        <v/>
      </c>
      <c r="H906" s="10">
        <f>IF(F905=0,0,G906/F905)</f>
        <v/>
      </c>
      <c r="I906" s="8">
        <f>D906-E906</f>
        <v/>
      </c>
      <c r="J906" s="4">
        <f>IF(F906&gt;C906,"Up",IF(F906&lt;C906,"Down","Flat"))</f>
        <v/>
      </c>
      <c r="K906" s="14" t="n">
        <v>87.64</v>
      </c>
      <c r="L906" s="15" t="n">
        <v>53.88</v>
      </c>
      <c r="M906" s="14" t="n">
        <v>3285.33</v>
      </c>
      <c r="N906" s="14" t="n">
        <v>3157.16</v>
      </c>
      <c r="O906" s="14" t="n">
        <v>2815.41</v>
      </c>
      <c r="P906" s="4">
        <f>IF(O906="","",IF(F906&gt;O906,"Above","Below"))</f>
        <v/>
      </c>
      <c r="Q906" s="16" t="n">
        <v>327126</v>
      </c>
      <c r="R906" s="17" t="n">
        <v>0</v>
      </c>
      <c r="S906" s="17" t="n">
        <v>0</v>
      </c>
      <c r="T906" s="17" t="n">
        <v>0</v>
      </c>
      <c r="U906" s="18" t="n">
        <v>0</v>
      </c>
    </row>
    <row r="907">
      <c r="A907" s="13" t="n">
        <v>45786</v>
      </c>
      <c r="B907" s="4">
        <f>TEXT(A907,"ddd")</f>
        <v/>
      </c>
      <c r="C907" s="14" t="n">
        <v>3310.2</v>
      </c>
      <c r="D907" s="14" t="n">
        <v>3352.7</v>
      </c>
      <c r="E907" s="14" t="n">
        <v>3278.9</v>
      </c>
      <c r="F907" s="14" t="n">
        <v>3344</v>
      </c>
      <c r="G907" s="9">
        <f>F907-F906</f>
        <v/>
      </c>
      <c r="H907" s="10">
        <f>IF(F906=0,0,G907/F906)</f>
        <v/>
      </c>
      <c r="I907" s="8">
        <f>D907-E907</f>
        <v/>
      </c>
      <c r="J907" s="4">
        <f>IF(F907&gt;C907,"Up",IF(F907&lt;C907,"Down","Flat"))</f>
        <v/>
      </c>
      <c r="K907" s="14" t="n">
        <v>86.65000000000001</v>
      </c>
      <c r="L907" s="15" t="n">
        <v>56.32</v>
      </c>
      <c r="M907" s="14" t="n">
        <v>3290.92</v>
      </c>
      <c r="N907" s="14" t="n">
        <v>3164.49</v>
      </c>
      <c r="O907" s="14" t="n">
        <v>2820.67</v>
      </c>
      <c r="P907" s="4">
        <f>IF(O907="","",IF(F907&gt;O907,"Above","Below"))</f>
        <v/>
      </c>
      <c r="Q907" s="16" t="n">
        <v>232464</v>
      </c>
      <c r="R907" s="17" t="n">
        <v>0</v>
      </c>
      <c r="S907" s="17" t="n">
        <v>0</v>
      </c>
      <c r="T907" s="17" t="n">
        <v>0</v>
      </c>
      <c r="U907" s="18" t="n">
        <v>0</v>
      </c>
    </row>
    <row r="908">
      <c r="A908" s="13" t="n">
        <v>45789</v>
      </c>
      <c r="B908" s="4">
        <f>TEXT(A908,"ddd")</f>
        <v/>
      </c>
      <c r="C908" s="14" t="n">
        <v>3281</v>
      </c>
      <c r="D908" s="14" t="n">
        <v>3295.5</v>
      </c>
      <c r="E908" s="14" t="n">
        <v>3211.2</v>
      </c>
      <c r="F908" s="14" t="n">
        <v>3228</v>
      </c>
      <c r="G908" s="9">
        <f>F908-F907</f>
        <v/>
      </c>
      <c r="H908" s="10">
        <f>IF(F907=0,0,G908/F907)</f>
        <v/>
      </c>
      <c r="I908" s="8">
        <f>D908-E908</f>
        <v/>
      </c>
      <c r="J908" s="4">
        <f>IF(F908&gt;C908,"Up",IF(F908&lt;C908,"Down","Flat"))</f>
        <v/>
      </c>
      <c r="K908" s="14" t="n">
        <v>89.95</v>
      </c>
      <c r="L908" s="15" t="n">
        <v>47.99</v>
      </c>
      <c r="M908" s="14" t="n">
        <v>3284.92</v>
      </c>
      <c r="N908" s="14" t="n">
        <v>3166.98</v>
      </c>
      <c r="O908" s="14" t="n">
        <v>2824.72</v>
      </c>
      <c r="P908" s="4">
        <f>IF(O908="","",IF(F908&gt;O908,"Above","Below"))</f>
        <v/>
      </c>
      <c r="Q908" s="16" t="n">
        <v>308534</v>
      </c>
      <c r="R908" s="17" t="n">
        <v>0</v>
      </c>
      <c r="S908" s="17" t="n">
        <v>0</v>
      </c>
      <c r="T908" s="17" t="n">
        <v>0</v>
      </c>
      <c r="U908" s="18" t="n">
        <v>0</v>
      </c>
    </row>
    <row r="909">
      <c r="A909" s="13" t="n">
        <v>45790</v>
      </c>
      <c r="B909" s="4">
        <f>TEXT(A909,"ddd")</f>
        <v/>
      </c>
      <c r="C909" s="14" t="n">
        <v>3240.7</v>
      </c>
      <c r="D909" s="14" t="n">
        <v>3270.4</v>
      </c>
      <c r="E909" s="14" t="n">
        <v>3220.1</v>
      </c>
      <c r="F909" s="14" t="n">
        <v>3247.8</v>
      </c>
      <c r="G909" s="9">
        <f>F909-F908</f>
        <v/>
      </c>
      <c r="H909" s="10">
        <f>IF(F908=0,0,G909/F908)</f>
        <v/>
      </c>
      <c r="I909" s="8">
        <f>D909-E909</f>
        <v/>
      </c>
      <c r="J909" s="4">
        <f>IF(F909&gt;C909,"Up",IF(F909&lt;C909,"Down","Flat"))</f>
        <v/>
      </c>
      <c r="K909" s="14" t="n">
        <v>87.12</v>
      </c>
      <c r="L909" s="15" t="n">
        <v>49.37</v>
      </c>
      <c r="M909" s="14" t="n">
        <v>3281.39</v>
      </c>
      <c r="N909" s="14" t="n">
        <v>3170.15</v>
      </c>
      <c r="O909" s="14" t="n">
        <v>2828.93</v>
      </c>
      <c r="P909" s="4">
        <f>IF(O909="","",IF(F909&gt;O909,"Above","Below"))</f>
        <v/>
      </c>
      <c r="Q909" s="16" t="n">
        <v>214423</v>
      </c>
      <c r="R909" s="17" t="n">
        <v>0</v>
      </c>
      <c r="S909" s="17" t="n">
        <v>0</v>
      </c>
      <c r="T909" s="17" t="n">
        <v>0</v>
      </c>
      <c r="U909" s="18" t="n">
        <v>0</v>
      </c>
    </row>
    <row r="910">
      <c r="A910" s="13" t="n">
        <v>45791</v>
      </c>
      <c r="B910" s="4">
        <f>TEXT(A910,"ddd")</f>
        <v/>
      </c>
      <c r="C910" s="14" t="n">
        <v>3254.1</v>
      </c>
      <c r="D910" s="14" t="n">
        <v>3261.3</v>
      </c>
      <c r="E910" s="14" t="n">
        <v>3170.7</v>
      </c>
      <c r="F910" s="14" t="n">
        <v>3188.3</v>
      </c>
      <c r="G910" s="9">
        <f>F910-F909</f>
        <v/>
      </c>
      <c r="H910" s="10">
        <f>IF(F909=0,0,G910/F909)</f>
        <v/>
      </c>
      <c r="I910" s="8">
        <f>D910-E910</f>
        <v/>
      </c>
      <c r="J910" s="4">
        <f>IF(F910&gt;C910,"Up",IF(F910&lt;C910,"Down","Flat"))</f>
        <v/>
      </c>
      <c r="K910" s="14" t="n">
        <v>87.37</v>
      </c>
      <c r="L910" s="15" t="n">
        <v>45.47</v>
      </c>
      <c r="M910" s="14" t="n">
        <v>3272.52</v>
      </c>
      <c r="N910" s="14" t="n">
        <v>3170.86</v>
      </c>
      <c r="O910" s="14" t="n">
        <v>2832.51</v>
      </c>
      <c r="P910" s="4">
        <f>IF(O910="","",IF(F910&gt;O910,"Above","Below"))</f>
        <v/>
      </c>
      <c r="Q910" s="16" t="n">
        <v>233929</v>
      </c>
      <c r="R910" s="17" t="n">
        <v>0</v>
      </c>
      <c r="S910" s="17" t="n">
        <v>0</v>
      </c>
      <c r="T910" s="17" t="n">
        <v>0</v>
      </c>
      <c r="U910" s="18" t="n">
        <v>0</v>
      </c>
    </row>
    <row r="911">
      <c r="A911" s="13" t="n">
        <v>45792</v>
      </c>
      <c r="B911" s="4">
        <f>TEXT(A911,"ddd")</f>
        <v/>
      </c>
      <c r="C911" s="14" t="n">
        <v>3180.8</v>
      </c>
      <c r="D911" s="14" t="n">
        <v>3244.3</v>
      </c>
      <c r="E911" s="14" t="n">
        <v>3123.3</v>
      </c>
      <c r="F911" s="14" t="n">
        <v>3226.6</v>
      </c>
      <c r="G911" s="9">
        <f>F911-F910</f>
        <v/>
      </c>
      <c r="H911" s="10">
        <f>IF(F910=0,0,G911/F910)</f>
        <v/>
      </c>
      <c r="I911" s="8">
        <f>D911-E911</f>
        <v/>
      </c>
      <c r="J911" s="4">
        <f>IF(F911&gt;C911,"Up",IF(F911&lt;C911,"Down","Flat"))</f>
        <v/>
      </c>
      <c r="K911" s="14" t="n">
        <v>89.77</v>
      </c>
      <c r="L911" s="15" t="n">
        <v>48.3</v>
      </c>
      <c r="M911" s="14" t="n">
        <v>3268.15</v>
      </c>
      <c r="N911" s="14" t="n">
        <v>3173.04</v>
      </c>
      <c r="O911" s="14" t="n">
        <v>2836.43</v>
      </c>
      <c r="P911" s="4">
        <f>IF(O911="","",IF(F911&gt;O911,"Above","Below"))</f>
        <v/>
      </c>
      <c r="Q911" s="16" t="n">
        <v>253064</v>
      </c>
      <c r="R911" s="17" t="n">
        <v>0</v>
      </c>
      <c r="S911" s="17" t="n">
        <v>0</v>
      </c>
      <c r="T911" s="17" t="n">
        <v>0</v>
      </c>
      <c r="U911" s="18" t="n">
        <v>0</v>
      </c>
    </row>
    <row r="912">
      <c r="A912" s="13" t="n">
        <v>45793</v>
      </c>
      <c r="B912" s="4">
        <f>TEXT(A912,"ddd")</f>
        <v/>
      </c>
      <c r="C912" s="14" t="n">
        <v>3243.5</v>
      </c>
      <c r="D912" s="14" t="n">
        <v>3255.8</v>
      </c>
      <c r="E912" s="14" t="n">
        <v>3156.4</v>
      </c>
      <c r="F912" s="14" t="n">
        <v>3187.2</v>
      </c>
      <c r="G912" s="9">
        <f>F912-F911</f>
        <v/>
      </c>
      <c r="H912" s="10">
        <f>IF(F911=0,0,G912/F911)</f>
        <v/>
      </c>
      <c r="I912" s="8">
        <f>D912-E912</f>
        <v/>
      </c>
      <c r="J912" s="4">
        <f>IF(F912&gt;C912,"Up",IF(F912&lt;C912,"Down","Flat"))</f>
        <v/>
      </c>
      <c r="K912" s="14" t="n">
        <v>90.45999999999999</v>
      </c>
      <c r="L912" s="15" t="n">
        <v>45.68</v>
      </c>
      <c r="M912" s="14" t="n">
        <v>3260.44</v>
      </c>
      <c r="N912" s="14" t="n">
        <v>3173.6</v>
      </c>
      <c r="O912" s="14" t="n">
        <v>2839.92</v>
      </c>
      <c r="P912" s="4">
        <f>IF(O912="","",IF(F912&gt;O912,"Above","Below"))</f>
        <v/>
      </c>
      <c r="Q912" s="16" t="n">
        <v>245486</v>
      </c>
      <c r="R912" s="17" t="n">
        <v>0</v>
      </c>
      <c r="S912" s="17" t="n">
        <v>0</v>
      </c>
      <c r="T912" s="17" t="n">
        <v>0</v>
      </c>
      <c r="U912" s="18" t="n">
        <v>0</v>
      </c>
    </row>
    <row r="913">
      <c r="A913" s="13" t="n">
        <v>45796</v>
      </c>
      <c r="B913" s="4">
        <f>TEXT(A913,"ddd")</f>
        <v/>
      </c>
      <c r="C913" s="14" t="n">
        <v>3220</v>
      </c>
      <c r="D913" s="14" t="n">
        <v>3252.9</v>
      </c>
      <c r="E913" s="14" t="n">
        <v>3209.1</v>
      </c>
      <c r="F913" s="14" t="n">
        <v>3233.5</v>
      </c>
      <c r="G913" s="9">
        <f>F913-F912</f>
        <v/>
      </c>
      <c r="H913" s="10">
        <f>IF(F912=0,0,G913/F912)</f>
        <v/>
      </c>
      <c r="I913" s="8">
        <f>D913-E913</f>
        <v/>
      </c>
      <c r="J913" s="4">
        <f>IF(F913&gt;C913,"Up",IF(F913&lt;C913,"Down","Flat"))</f>
        <v/>
      </c>
      <c r="K913" s="14" t="n">
        <v>88.69</v>
      </c>
      <c r="L913" s="15" t="n">
        <v>49.17</v>
      </c>
      <c r="M913" s="14" t="n">
        <v>3257.87</v>
      </c>
      <c r="N913" s="14" t="n">
        <v>3175.95</v>
      </c>
      <c r="O913" s="14" t="n">
        <v>2843.84</v>
      </c>
      <c r="P913" s="4">
        <f>IF(O913="","",IF(F913&gt;O913,"Above","Below"))</f>
        <v/>
      </c>
      <c r="Q913" s="16" t="n">
        <v>185135</v>
      </c>
      <c r="R913" s="17" t="n">
        <v>0</v>
      </c>
      <c r="S913" s="17" t="n">
        <v>0</v>
      </c>
      <c r="T913" s="17" t="n">
        <v>0</v>
      </c>
      <c r="U913" s="18" t="n">
        <v>0</v>
      </c>
    </row>
    <row r="914">
      <c r="A914" s="13" t="n">
        <v>45797</v>
      </c>
      <c r="B914" s="4">
        <f>TEXT(A914,"ddd")</f>
        <v/>
      </c>
      <c r="C914" s="14" t="n">
        <v>3233</v>
      </c>
      <c r="D914" s="14" t="n">
        <v>3298.5</v>
      </c>
      <c r="E914" s="14" t="n">
        <v>3207.4</v>
      </c>
      <c r="F914" s="14" t="n">
        <v>3284.6</v>
      </c>
      <c r="G914" s="9">
        <f>F914-F913</f>
        <v/>
      </c>
      <c r="H914" s="10">
        <f>IF(F913=0,0,G914/F913)</f>
        <v/>
      </c>
      <c r="I914" s="8">
        <f>D914-E914</f>
        <v/>
      </c>
      <c r="J914" s="4">
        <f>IF(F914&gt;C914,"Up",IF(F914&lt;C914,"Down","Flat"))</f>
        <v/>
      </c>
      <c r="K914" s="14" t="n">
        <v>88.86</v>
      </c>
      <c r="L914" s="15" t="n">
        <v>52.78</v>
      </c>
      <c r="M914" s="14" t="n">
        <v>3260.42</v>
      </c>
      <c r="N914" s="14" t="n">
        <v>3180.21</v>
      </c>
      <c r="O914" s="14" t="n">
        <v>2848.22</v>
      </c>
      <c r="P914" s="4">
        <f>IF(O914="","",IF(F914&gt;O914,"Above","Below"))</f>
        <v/>
      </c>
      <c r="Q914" s="16" t="n">
        <v>224088</v>
      </c>
      <c r="R914" s="17" t="n">
        <v>0</v>
      </c>
      <c r="S914" s="17" t="n">
        <v>0</v>
      </c>
      <c r="T914" s="17" t="n">
        <v>0</v>
      </c>
      <c r="U914" s="18" t="n">
        <v>0</v>
      </c>
    </row>
    <row r="915">
      <c r="A915" s="13" t="n">
        <v>45798</v>
      </c>
      <c r="B915" s="4">
        <f>TEXT(A915,"ddd")</f>
        <v/>
      </c>
      <c r="C915" s="14" t="n">
        <v>3293</v>
      </c>
      <c r="D915" s="14" t="n">
        <v>3327.2</v>
      </c>
      <c r="E915" s="14" t="n">
        <v>3287</v>
      </c>
      <c r="F915" s="14" t="n">
        <v>3313.5</v>
      </c>
      <c r="G915" s="9">
        <f>F915-F914</f>
        <v/>
      </c>
      <c r="H915" s="10">
        <f>IF(F914=0,0,G915/F914)</f>
        <v/>
      </c>
      <c r="I915" s="8">
        <f>D915-E915</f>
        <v/>
      </c>
      <c r="J915" s="4">
        <f>IF(F915&gt;C915,"Up",IF(F915&lt;C915,"Down","Flat"))</f>
        <v/>
      </c>
      <c r="K915" s="14" t="n">
        <v>85.56</v>
      </c>
      <c r="L915" s="15" t="n">
        <v>54.74</v>
      </c>
      <c r="M915" s="14" t="n">
        <v>3265.47</v>
      </c>
      <c r="N915" s="14" t="n">
        <v>3185.44</v>
      </c>
      <c r="O915" s="14" t="n">
        <v>2852.85</v>
      </c>
      <c r="P915" s="4">
        <f>IF(O915="","",IF(F915&gt;O915,"Above","Below"))</f>
        <v/>
      </c>
      <c r="Q915" s="16" t="n">
        <v>229503</v>
      </c>
      <c r="R915" s="17" t="n">
        <v>0</v>
      </c>
      <c r="S915" s="17" t="n">
        <v>0</v>
      </c>
      <c r="T915" s="17" t="n">
        <v>0</v>
      </c>
      <c r="U915" s="18" t="n">
        <v>0</v>
      </c>
    </row>
    <row r="916">
      <c r="A916" s="13" t="n">
        <v>45799</v>
      </c>
      <c r="B916" s="4">
        <f>TEXT(A916,"ddd")</f>
        <v/>
      </c>
      <c r="C916" s="14" t="n">
        <v>3318</v>
      </c>
      <c r="D916" s="14" t="n">
        <v>3346.8</v>
      </c>
      <c r="E916" s="14" t="n">
        <v>3277.8</v>
      </c>
      <c r="F916" s="14" t="n">
        <v>3295</v>
      </c>
      <c r="G916" s="9">
        <f>F916-F915</f>
        <v/>
      </c>
      <c r="H916" s="10">
        <f>IF(F915=0,0,G916/F915)</f>
        <v/>
      </c>
      <c r="I916" s="8">
        <f>D916-E916</f>
        <v/>
      </c>
      <c r="J916" s="4">
        <f>IF(F916&gt;C916,"Up",IF(F916&lt;C916,"Down","Flat"))</f>
        <v/>
      </c>
      <c r="K916" s="14" t="n">
        <v>84.37</v>
      </c>
      <c r="L916" s="15" t="n">
        <v>53.22</v>
      </c>
      <c r="M916" s="14" t="n">
        <v>3268.29</v>
      </c>
      <c r="N916" s="14" t="n">
        <v>3189.73</v>
      </c>
      <c r="O916" s="14" t="n">
        <v>2857.25</v>
      </c>
      <c r="P916" s="4">
        <f>IF(O916="","",IF(F916&gt;O916,"Above","Below"))</f>
        <v/>
      </c>
      <c r="Q916" s="16" t="n">
        <v>234658</v>
      </c>
      <c r="R916" s="17" t="n">
        <v>0</v>
      </c>
      <c r="S916" s="17" t="n">
        <v>0</v>
      </c>
      <c r="T916" s="17" t="n">
        <v>0</v>
      </c>
      <c r="U916" s="18" t="n">
        <v>0</v>
      </c>
    </row>
    <row r="917">
      <c r="A917" s="13" t="n">
        <v>45800</v>
      </c>
      <c r="B917" s="4">
        <f>TEXT(A917,"ddd")</f>
        <v/>
      </c>
      <c r="C917" s="14" t="n">
        <v>3295.1</v>
      </c>
      <c r="D917" s="14" t="n">
        <v>3366.5</v>
      </c>
      <c r="E917" s="14" t="n">
        <v>3285.5</v>
      </c>
      <c r="F917" s="14" t="n">
        <v>3365.8</v>
      </c>
      <c r="G917" s="9">
        <f>F917-F916</f>
        <v/>
      </c>
      <c r="H917" s="10">
        <f>IF(F916=0,0,G917/F916)</f>
        <v/>
      </c>
      <c r="I917" s="8">
        <f>D917-E917</f>
        <v/>
      </c>
      <c r="J917" s="4">
        <f>IF(F917&gt;C917,"Up",IF(F917&lt;C917,"Down","Flat"))</f>
        <v/>
      </c>
      <c r="K917" s="14" t="n">
        <v>84.13</v>
      </c>
      <c r="L917" s="15" t="n">
        <v>58.02</v>
      </c>
      <c r="M917" s="14" t="n">
        <v>3277.57</v>
      </c>
      <c r="N917" s="14" t="n">
        <v>3196.64</v>
      </c>
      <c r="O917" s="14" t="n">
        <v>2862.31</v>
      </c>
      <c r="P917" s="4">
        <f>IF(O917="","",IF(F917&gt;O917,"Above","Below"))</f>
        <v/>
      </c>
      <c r="Q917" s="16" t="n">
        <v>247200</v>
      </c>
      <c r="R917" s="17" t="n">
        <v>0</v>
      </c>
      <c r="S917" s="17" t="n">
        <v>0</v>
      </c>
      <c r="T917" s="17" t="n">
        <v>0</v>
      </c>
      <c r="U917" s="18" t="n">
        <v>0</v>
      </c>
    </row>
    <row r="918">
      <c r="A918" s="13" t="n">
        <v>45804</v>
      </c>
      <c r="B918" s="4">
        <f>TEXT(A918,"ddd")</f>
        <v/>
      </c>
      <c r="C918" s="14" t="n">
        <v>3355.6</v>
      </c>
      <c r="D918" s="14" t="n">
        <v>3356</v>
      </c>
      <c r="E918" s="14" t="n">
        <v>3283</v>
      </c>
      <c r="F918" s="14" t="n">
        <v>3300.4</v>
      </c>
      <c r="G918" s="9">
        <f>F918-F917</f>
        <v/>
      </c>
      <c r="H918" s="10">
        <f>IF(F917=0,0,G918/F917)</f>
        <v/>
      </c>
      <c r="I918" s="8">
        <f>D918-E918</f>
        <v/>
      </c>
      <c r="J918" s="4">
        <f>IF(F918&gt;C918,"Up",IF(F918&lt;C918,"Down","Flat"))</f>
        <v/>
      </c>
      <c r="K918" s="14" t="n">
        <v>84.04000000000001</v>
      </c>
      <c r="L918" s="15" t="n">
        <v>52.64</v>
      </c>
      <c r="M918" s="14" t="n">
        <v>3279.75</v>
      </c>
      <c r="N918" s="14" t="n">
        <v>3200.71</v>
      </c>
      <c r="O918" s="14" t="n">
        <v>2866.67</v>
      </c>
      <c r="P918" s="4">
        <f>IF(O918="","",IF(F918&gt;O918,"Above","Below"))</f>
        <v/>
      </c>
      <c r="Q918" s="16" t="n">
        <v>297309</v>
      </c>
      <c r="R918" s="17" t="n">
        <v>0</v>
      </c>
      <c r="S918" s="17" t="n">
        <v>0</v>
      </c>
      <c r="T918" s="17" t="n">
        <v>0</v>
      </c>
      <c r="U918" s="18" t="n">
        <v>0</v>
      </c>
    </row>
    <row r="919">
      <c r="A919" s="13" t="n">
        <v>45805</v>
      </c>
      <c r="B919" s="4">
        <f>TEXT(A919,"ddd")</f>
        <v/>
      </c>
      <c r="C919" s="14" t="n">
        <v>3300.9</v>
      </c>
      <c r="D919" s="14" t="n">
        <v>3324.5</v>
      </c>
      <c r="E919" s="14" t="n">
        <v>3273.5</v>
      </c>
      <c r="F919" s="14" t="n">
        <v>3294.9</v>
      </c>
      <c r="G919" s="9">
        <f>F919-F918</f>
        <v/>
      </c>
      <c r="H919" s="10">
        <f>IF(F918=0,0,G919/F918)</f>
        <v/>
      </c>
      <c r="I919" s="8">
        <f>D919-E919</f>
        <v/>
      </c>
      <c r="J919" s="4">
        <f>IF(F919&gt;C919,"Up",IF(F919&lt;C919,"Down","Flat"))</f>
        <v/>
      </c>
      <c r="K919" s="14" t="n">
        <v>81.68000000000001</v>
      </c>
      <c r="L919" s="15" t="n">
        <v>52.2</v>
      </c>
      <c r="M919" s="14" t="n">
        <v>3281.19</v>
      </c>
      <c r="N919" s="14" t="n">
        <v>3204.4</v>
      </c>
      <c r="O919" s="14" t="n">
        <v>2870.93</v>
      </c>
      <c r="P919" s="4">
        <f>IF(O919="","",IF(F919&gt;O919,"Above","Below"))</f>
        <v/>
      </c>
      <c r="Q919" s="16" t="n">
        <v>127758</v>
      </c>
      <c r="R919" s="17" t="n">
        <v>0</v>
      </c>
      <c r="S919" s="17" t="n">
        <v>0</v>
      </c>
      <c r="T919" s="17" t="n">
        <v>0</v>
      </c>
      <c r="U919" s="18" t="n">
        <v>0</v>
      </c>
    </row>
    <row r="920">
      <c r="A920" s="13" t="n">
        <v>45806</v>
      </c>
      <c r="B920" s="4">
        <f>TEXT(A920,"ddd")</f>
        <v/>
      </c>
      <c r="C920" s="14" t="n">
        <v>3283.7</v>
      </c>
      <c r="D920" s="14" t="n">
        <v>3328.8</v>
      </c>
      <c r="E920" s="14" t="n">
        <v>3242.4</v>
      </c>
      <c r="F920" s="14" t="n">
        <v>3317.1</v>
      </c>
      <c r="G920" s="9">
        <f>F920-F919</f>
        <v/>
      </c>
      <c r="H920" s="10">
        <f>IF(F919=0,0,G920/F919)</f>
        <v/>
      </c>
      <c r="I920" s="8">
        <f>D920-E920</f>
        <v/>
      </c>
      <c r="J920" s="4">
        <f>IF(F920&gt;C920,"Up",IF(F920&lt;C920,"Down","Flat"))</f>
        <v/>
      </c>
      <c r="K920" s="14" t="n">
        <v>82.01000000000001</v>
      </c>
      <c r="L920" s="15" t="n">
        <v>53.87</v>
      </c>
      <c r="M920" s="14" t="n">
        <v>3284.61</v>
      </c>
      <c r="N920" s="14" t="n">
        <v>3208.82</v>
      </c>
      <c r="O920" s="14" t="n">
        <v>2875.37</v>
      </c>
      <c r="P920" s="4">
        <f>IF(O920="","",IF(F920&gt;O920,"Above","Below"))</f>
        <v/>
      </c>
      <c r="Q920" s="16" t="n">
        <v>24370</v>
      </c>
      <c r="R920" s="17" t="n">
        <v>0</v>
      </c>
      <c r="S920" s="17" t="n">
        <v>0</v>
      </c>
      <c r="T920" s="17" t="n">
        <v>0</v>
      </c>
      <c r="U920" s="18" t="n">
        <v>0</v>
      </c>
    </row>
    <row r="921">
      <c r="A921" s="13" t="n">
        <v>45807</v>
      </c>
      <c r="B921" s="4">
        <f>TEXT(A921,"ddd")</f>
        <v/>
      </c>
      <c r="C921" s="14" t="n">
        <v>3315.1</v>
      </c>
      <c r="D921" s="14" t="n">
        <v>3318</v>
      </c>
      <c r="E921" s="14" t="n">
        <v>3270.9</v>
      </c>
      <c r="F921" s="14" t="n">
        <v>3288.9</v>
      </c>
      <c r="G921" s="9">
        <f>F921-F920</f>
        <v/>
      </c>
      <c r="H921" s="10">
        <f>IF(F920=0,0,G921/F920)</f>
        <v/>
      </c>
      <c r="I921" s="8">
        <f>D921-E921</f>
        <v/>
      </c>
      <c r="J921" s="4">
        <f>IF(F921&gt;C921,"Up",IF(F921&lt;C921,"Down","Flat"))</f>
        <v/>
      </c>
      <c r="K921" s="14" t="n">
        <v>79.52</v>
      </c>
      <c r="L921" s="15" t="n">
        <v>51.42</v>
      </c>
      <c r="M921" s="14" t="n">
        <v>3285.02</v>
      </c>
      <c r="N921" s="14" t="n">
        <v>3211.96</v>
      </c>
      <c r="O921" s="14" t="n">
        <v>2879.48</v>
      </c>
      <c r="P921" s="4">
        <f>IF(O921="","",IF(F921&gt;O921,"Above","Below"))</f>
        <v/>
      </c>
      <c r="Q921" s="16" t="n">
        <v>184770</v>
      </c>
      <c r="R921" s="17" t="n">
        <v>0</v>
      </c>
      <c r="S921" s="17" t="n">
        <v>0</v>
      </c>
      <c r="T921" s="17" t="n">
        <v>0</v>
      </c>
      <c r="U921" s="18" t="n">
        <v>0</v>
      </c>
    </row>
    <row r="922">
      <c r="A922" s="13" t="n">
        <v>45810</v>
      </c>
      <c r="B922" s="4">
        <f>TEXT(A922,"ddd")</f>
        <v/>
      </c>
      <c r="C922" s="14" t="n">
        <v>3323</v>
      </c>
      <c r="D922" s="14" t="n">
        <v>3408.1</v>
      </c>
      <c r="E922" s="14" t="n">
        <v>3319.4</v>
      </c>
      <c r="F922" s="14" t="n">
        <v>3397.2</v>
      </c>
      <c r="G922" s="9">
        <f>F922-F921</f>
        <v/>
      </c>
      <c r="H922" s="10">
        <f>IF(F921=0,0,G922/F921)</f>
        <v/>
      </c>
      <c r="I922" s="8">
        <f>D922-E922</f>
        <v/>
      </c>
      <c r="J922" s="4">
        <f>IF(F922&gt;C922,"Up",IF(F922&lt;C922,"Down","Flat"))</f>
        <v/>
      </c>
      <c r="K922" s="14" t="n">
        <v>82.36</v>
      </c>
      <c r="L922" s="15" t="n">
        <v>59.13</v>
      </c>
      <c r="M922" s="14" t="n">
        <v>3295.7</v>
      </c>
      <c r="N922" s="14" t="n">
        <v>3219.23</v>
      </c>
      <c r="O922" s="14" t="n">
        <v>2884.64</v>
      </c>
      <c r="P922" s="4">
        <f>IF(O922="","",IF(F922&gt;O922,"Above","Below"))</f>
        <v/>
      </c>
      <c r="Q922" s="16" t="n">
        <v>180995</v>
      </c>
      <c r="R922" s="17" t="n">
        <v>0</v>
      </c>
      <c r="S922" s="17" t="n">
        <v>0</v>
      </c>
      <c r="T922" s="17" t="n">
        <v>0</v>
      </c>
      <c r="U922" s="18" t="n">
        <v>0</v>
      </c>
    </row>
    <row r="923">
      <c r="A923" s="13" t="n">
        <v>45811</v>
      </c>
      <c r="B923" s="4">
        <f>TEXT(A923,"ddd")</f>
        <v/>
      </c>
      <c r="C923" s="14" t="n">
        <v>3406.5</v>
      </c>
      <c r="D923" s="14" t="n">
        <v>3417.8</v>
      </c>
      <c r="E923" s="14" t="n">
        <v>3357.2</v>
      </c>
      <c r="F923" s="14" t="n">
        <v>3377.1</v>
      </c>
      <c r="G923" s="9">
        <f>F923-F922</f>
        <v/>
      </c>
      <c r="H923" s="10">
        <f>IF(F922=0,0,G923/F922)</f>
        <v/>
      </c>
      <c r="I923" s="8">
        <f>D923-E923</f>
        <v/>
      </c>
      <c r="J923" s="4">
        <f>IF(F923&gt;C923,"Up",IF(F923&lt;C923,"Down","Flat"))</f>
        <v/>
      </c>
      <c r="K923" s="14" t="n">
        <v>80.8</v>
      </c>
      <c r="L923" s="15" t="n">
        <v>57.31</v>
      </c>
      <c r="M923" s="14" t="n">
        <v>3303.46</v>
      </c>
      <c r="N923" s="14" t="n">
        <v>3225.42</v>
      </c>
      <c r="O923" s="14" t="n">
        <v>2889.54</v>
      </c>
      <c r="P923" s="4">
        <f>IF(O923="","",IF(F923&gt;O923,"Above","Below"))</f>
        <v/>
      </c>
      <c r="Q923" s="16" t="n">
        <v>168220</v>
      </c>
      <c r="R923" s="17" t="n">
        <v>0</v>
      </c>
      <c r="S923" s="17" t="n">
        <v>0</v>
      </c>
      <c r="T923" s="17" t="n">
        <v>0</v>
      </c>
      <c r="U923" s="18" t="n">
        <v>0</v>
      </c>
    </row>
    <row r="924">
      <c r="A924" s="13" t="n">
        <v>45812</v>
      </c>
      <c r="B924" s="4">
        <f>TEXT(A924,"ddd")</f>
        <v/>
      </c>
      <c r="C924" s="14" t="n">
        <v>3377.8</v>
      </c>
      <c r="D924" s="14" t="n">
        <v>3409.7</v>
      </c>
      <c r="E924" s="14" t="n">
        <v>3366.9</v>
      </c>
      <c r="F924" s="14" t="n">
        <v>3399.2</v>
      </c>
      <c r="G924" s="9">
        <f>F924-F923</f>
        <v/>
      </c>
      <c r="H924" s="10">
        <f>IF(F923=0,0,G924/F923)</f>
        <v/>
      </c>
      <c r="I924" s="8">
        <f>D924-E924</f>
        <v/>
      </c>
      <c r="J924" s="4">
        <f>IF(F924&gt;C924,"Up",IF(F924&lt;C924,"Down","Flat"))</f>
        <v/>
      </c>
      <c r="K924" s="14" t="n">
        <v>78.09</v>
      </c>
      <c r="L924" s="15" t="n">
        <v>58.81</v>
      </c>
      <c r="M924" s="14" t="n">
        <v>3312.57</v>
      </c>
      <c r="N924" s="14" t="n">
        <v>3232.23</v>
      </c>
      <c r="O924" s="14" t="n">
        <v>2894.61</v>
      </c>
      <c r="P924" s="4">
        <f>IF(O924="","",IF(F924&gt;O924,"Above","Below"))</f>
        <v/>
      </c>
      <c r="Q924" s="16" t="n">
        <v>167220</v>
      </c>
      <c r="R924" s="17" t="n">
        <v>0</v>
      </c>
      <c r="S924" s="17" t="n">
        <v>0</v>
      </c>
      <c r="T924" s="17" t="n">
        <v>0</v>
      </c>
      <c r="U924" s="18" t="n">
        <v>0</v>
      </c>
    </row>
    <row r="925">
      <c r="A925" s="13" t="n">
        <v>45813</v>
      </c>
      <c r="B925" s="4">
        <f>TEXT(A925,"ddd")</f>
        <v/>
      </c>
      <c r="C925" s="14" t="n">
        <v>3398</v>
      </c>
      <c r="D925" s="14" t="n">
        <v>3427.7</v>
      </c>
      <c r="E925" s="14" t="n">
        <v>3362.3</v>
      </c>
      <c r="F925" s="14" t="n">
        <v>3375.1</v>
      </c>
      <c r="G925" s="9">
        <f>F925-F924</f>
        <v/>
      </c>
      <c r="H925" s="10">
        <f>IF(F924=0,0,G925/F924)</f>
        <v/>
      </c>
      <c r="I925" s="8">
        <f>D925-E925</f>
        <v/>
      </c>
      <c r="J925" s="4">
        <f>IF(F925&gt;C925,"Up",IF(F925&lt;C925,"Down","Flat"))</f>
        <v/>
      </c>
      <c r="K925" s="14" t="n">
        <v>77.18000000000001</v>
      </c>
      <c r="L925" s="15" t="n">
        <v>56.48</v>
      </c>
      <c r="M925" s="14" t="n">
        <v>3318.53</v>
      </c>
      <c r="N925" s="14" t="n">
        <v>3237.83</v>
      </c>
      <c r="O925" s="14" t="n">
        <v>2899.39</v>
      </c>
      <c r="P925" s="4">
        <f>IF(O925="","",IF(F925&gt;O925,"Above","Below"))</f>
        <v/>
      </c>
      <c r="Q925" s="16" t="n">
        <v>224859</v>
      </c>
      <c r="R925" s="17" t="n">
        <v>0</v>
      </c>
      <c r="S925" s="17" t="n">
        <v>0</v>
      </c>
      <c r="T925" s="17" t="n">
        <v>0</v>
      </c>
      <c r="U925" s="18" t="n">
        <v>0</v>
      </c>
    </row>
    <row r="926">
      <c r="A926" s="13" t="n">
        <v>45814</v>
      </c>
      <c r="B926" s="4">
        <f>TEXT(A926,"ddd")</f>
        <v/>
      </c>
      <c r="C926" s="14" t="n">
        <v>3377.4</v>
      </c>
      <c r="D926" s="14" t="n">
        <v>3398.3</v>
      </c>
      <c r="E926" s="14" t="n">
        <v>3328.8</v>
      </c>
      <c r="F926" s="14" t="n">
        <v>3346.6</v>
      </c>
      <c r="G926" s="9">
        <f>F926-F925</f>
        <v/>
      </c>
      <c r="H926" s="10">
        <f>IF(F925=0,0,G926/F925)</f>
        <v/>
      </c>
      <c r="I926" s="8">
        <f>D926-E926</f>
        <v/>
      </c>
      <c r="J926" s="4">
        <f>IF(F926&gt;C926,"Up",IF(F926&lt;C926,"Down","Flat"))</f>
        <v/>
      </c>
      <c r="K926" s="14" t="n">
        <v>76.63</v>
      </c>
      <c r="L926" s="15" t="n">
        <v>53.77</v>
      </c>
      <c r="M926" s="14" t="n">
        <v>3321.2</v>
      </c>
      <c r="N926" s="14" t="n">
        <v>3242.1</v>
      </c>
      <c r="O926" s="14" t="n">
        <v>2903.84</v>
      </c>
      <c r="P926" s="4">
        <f>IF(O926="","",IF(F926&gt;O926,"Above","Below"))</f>
        <v/>
      </c>
      <c r="Q926" s="16" t="n">
        <v>185366</v>
      </c>
      <c r="R926" s="17" t="n">
        <v>0</v>
      </c>
      <c r="S926" s="17" t="n">
        <v>0</v>
      </c>
      <c r="T926" s="17" t="n">
        <v>0</v>
      </c>
      <c r="U926" s="18" t="n">
        <v>0</v>
      </c>
    </row>
    <row r="927">
      <c r="A927" s="13" t="n">
        <v>45817</v>
      </c>
      <c r="B927" s="4">
        <f>TEXT(A927,"ddd")</f>
        <v/>
      </c>
      <c r="C927" s="14" t="n">
        <v>3333.4</v>
      </c>
      <c r="D927" s="14" t="n">
        <v>3359</v>
      </c>
      <c r="E927" s="14" t="n">
        <v>3313.1</v>
      </c>
      <c r="F927" s="14" t="n">
        <v>3354.9</v>
      </c>
      <c r="G927" s="9">
        <f>F927-F926</f>
        <v/>
      </c>
      <c r="H927" s="10">
        <f>IF(F926=0,0,G927/F926)</f>
        <v/>
      </c>
      <c r="I927" s="8">
        <f>D927-E927</f>
        <v/>
      </c>
      <c r="J927" s="4">
        <f>IF(F927&gt;C927,"Up",IF(F927&lt;C927,"Down","Flat"))</f>
        <v/>
      </c>
      <c r="K927" s="14" t="n">
        <v>74.44</v>
      </c>
      <c r="L927" s="15" t="n">
        <v>54.45</v>
      </c>
      <c r="M927" s="14" t="n">
        <v>3324.41</v>
      </c>
      <c r="N927" s="14" t="n">
        <v>3246.52</v>
      </c>
      <c r="O927" s="14" t="n">
        <v>2908.33</v>
      </c>
      <c r="P927" s="4">
        <f>IF(O927="","",IF(F927&gt;O927,"Above","Below"))</f>
        <v/>
      </c>
      <c r="Q927" s="16" t="n">
        <v>142005</v>
      </c>
      <c r="R927" s="17" t="n">
        <v>0</v>
      </c>
      <c r="S927" s="17" t="n">
        <v>0</v>
      </c>
      <c r="T927" s="17" t="n">
        <v>0</v>
      </c>
      <c r="U927" s="18" t="n">
        <v>0</v>
      </c>
    </row>
    <row r="928">
      <c r="A928" s="13" t="n">
        <v>45818</v>
      </c>
      <c r="B928" s="4">
        <f>TEXT(A928,"ddd")</f>
        <v/>
      </c>
      <c r="C928" s="14" t="n">
        <v>3346.3</v>
      </c>
      <c r="D928" s="14" t="n">
        <v>3370.4</v>
      </c>
      <c r="E928" s="14" t="n">
        <v>3321.3</v>
      </c>
      <c r="F928" s="14" t="n">
        <v>3343.4</v>
      </c>
      <c r="G928" s="9">
        <f>F928-F927</f>
        <v/>
      </c>
      <c r="H928" s="10">
        <f>IF(F927=0,0,G928/F927)</f>
        <v/>
      </c>
      <c r="I928" s="8">
        <f>D928-E928</f>
        <v/>
      </c>
      <c r="J928" s="4">
        <f>IF(F928&gt;C928,"Up",IF(F928&lt;C928,"Down","Flat"))</f>
        <v/>
      </c>
      <c r="K928" s="14" t="n">
        <v>72.63</v>
      </c>
      <c r="L928" s="15" t="n">
        <v>53.27</v>
      </c>
      <c r="M928" s="14" t="n">
        <v>3326.22</v>
      </c>
      <c r="N928" s="14" t="n">
        <v>3250.32</v>
      </c>
      <c r="O928" s="14" t="n">
        <v>2912.66</v>
      </c>
      <c r="P928" s="4">
        <f>IF(O928="","",IF(F928&gt;O928,"Above","Below"))</f>
        <v/>
      </c>
      <c r="Q928" s="16" t="n">
        <v>158897</v>
      </c>
      <c r="R928" s="17" t="n">
        <v>0</v>
      </c>
      <c r="S928" s="17" t="n">
        <v>0</v>
      </c>
      <c r="T928" s="17" t="n">
        <v>0</v>
      </c>
      <c r="U928" s="18" t="n">
        <v>0</v>
      </c>
    </row>
    <row r="929">
      <c r="A929" s="13" t="n">
        <v>45819</v>
      </c>
      <c r="B929" s="4">
        <f>TEXT(A929,"ddd")</f>
        <v/>
      </c>
      <c r="C929" s="14" t="n">
        <v>3344.3</v>
      </c>
      <c r="D929" s="14" t="n">
        <v>3382.3</v>
      </c>
      <c r="E929" s="14" t="n">
        <v>3335.4</v>
      </c>
      <c r="F929" s="14" t="n">
        <v>3343.7</v>
      </c>
      <c r="G929" s="9">
        <f>F929-F928</f>
        <v/>
      </c>
      <c r="H929" s="10">
        <f>IF(F928=0,0,G929/F928)</f>
        <v/>
      </c>
      <c r="I929" s="8">
        <f>D929-E929</f>
        <v/>
      </c>
      <c r="J929" s="4">
        <f>IF(F929&gt;C929,"Up",IF(F929&lt;C929,"Down","Flat"))</f>
        <v/>
      </c>
      <c r="K929" s="14" t="n">
        <v>70.79000000000001</v>
      </c>
      <c r="L929" s="15" t="n">
        <v>53.3</v>
      </c>
      <c r="M929" s="14" t="n">
        <v>3327.88</v>
      </c>
      <c r="N929" s="14" t="n">
        <v>3253.98</v>
      </c>
      <c r="O929" s="14" t="n">
        <v>2916.94</v>
      </c>
      <c r="P929" s="4">
        <f>IF(O929="","",IF(F929&gt;O929,"Above","Below"))</f>
        <v/>
      </c>
      <c r="Q929" s="16" t="n">
        <v>201534</v>
      </c>
      <c r="R929" s="17" t="n">
        <v>0</v>
      </c>
      <c r="S929" s="17" t="n">
        <v>0</v>
      </c>
      <c r="T929" s="17" t="n">
        <v>0</v>
      </c>
      <c r="U929" s="18" t="n">
        <v>0</v>
      </c>
    </row>
    <row r="930">
      <c r="A930" s="13" t="n">
        <v>45820</v>
      </c>
      <c r="B930" s="4">
        <f>TEXT(A930,"ddd")</f>
        <v/>
      </c>
      <c r="C930" s="14" t="n">
        <v>3377.5</v>
      </c>
      <c r="D930" s="14" t="n">
        <v>3419.8</v>
      </c>
      <c r="E930" s="14" t="n">
        <v>3358.5</v>
      </c>
      <c r="F930" s="14" t="n">
        <v>3402.4</v>
      </c>
      <c r="G930" s="9">
        <f>F930-F929</f>
        <v/>
      </c>
      <c r="H930" s="10">
        <f>IF(F929=0,0,G930/F929)</f>
        <v/>
      </c>
      <c r="I930" s="8">
        <f>D930-E930</f>
        <v/>
      </c>
      <c r="J930" s="4">
        <f>IF(F930&gt;C930,"Up",IF(F930&lt;C930,"Down","Flat"))</f>
        <v/>
      </c>
      <c r="K930" s="14" t="n">
        <v>71.17</v>
      </c>
      <c r="L930" s="15" t="n">
        <v>58.61</v>
      </c>
      <c r="M930" s="14" t="n">
        <v>3334.98</v>
      </c>
      <c r="N930" s="14" t="n">
        <v>3259.8</v>
      </c>
      <c r="O930" s="14" t="n">
        <v>2921.78</v>
      </c>
      <c r="P930" s="4">
        <f>IF(O930="","",IF(F930&gt;O930,"Above","Below"))</f>
        <v/>
      </c>
      <c r="Q930" s="16" t="n">
        <v>230166</v>
      </c>
      <c r="R930" s="17" t="n">
        <v>0</v>
      </c>
      <c r="S930" s="17" t="n">
        <v>0</v>
      </c>
      <c r="T930" s="17" t="n">
        <v>0</v>
      </c>
      <c r="U930" s="18" t="n">
        <v>0</v>
      </c>
    </row>
    <row r="931">
      <c r="A931" s="13" t="n">
        <v>45821</v>
      </c>
      <c r="B931" s="4">
        <f>TEXT(A931,"ddd")</f>
        <v/>
      </c>
      <c r="C931" s="14" t="n">
        <v>3406.7</v>
      </c>
      <c r="D931" s="14" t="n">
        <v>3468</v>
      </c>
      <c r="E931" s="14" t="n">
        <v>3399.6</v>
      </c>
      <c r="F931" s="14" t="n">
        <v>3452.8</v>
      </c>
      <c r="G931" s="9">
        <f>F931-F930</f>
        <v/>
      </c>
      <c r="H931" s="10">
        <f>IF(F930=0,0,G931/F930)</f>
        <v/>
      </c>
      <c r="I931" s="8">
        <f>D931-E931</f>
        <v/>
      </c>
      <c r="J931" s="4">
        <f>IF(F931&gt;C931,"Up",IF(F931&lt;C931,"Down","Flat"))</f>
        <v/>
      </c>
      <c r="K931" s="14" t="n">
        <v>70.97</v>
      </c>
      <c r="L931" s="15" t="n">
        <v>62.54</v>
      </c>
      <c r="M931" s="14" t="n">
        <v>3346.2</v>
      </c>
      <c r="N931" s="14" t="n">
        <v>3267.37</v>
      </c>
      <c r="O931" s="14" t="n">
        <v>2927.06</v>
      </c>
      <c r="P931" s="4">
        <f>IF(O931="","",IF(F931&gt;O931,"Above","Below"))</f>
        <v/>
      </c>
      <c r="Q931" s="16" t="n">
        <v>270627</v>
      </c>
      <c r="R931" s="17" t="n">
        <v>0</v>
      </c>
      <c r="S931" s="17" t="n">
        <v>0</v>
      </c>
      <c r="T931" s="17" t="n">
        <v>0</v>
      </c>
      <c r="U931" s="18" t="n">
        <v>0</v>
      </c>
    </row>
    <row r="932">
      <c r="A932" s="13" t="n">
        <v>45824</v>
      </c>
      <c r="B932" s="4">
        <f>TEXT(A932,"ddd")</f>
        <v/>
      </c>
      <c r="C932" s="14" t="n">
        <v>3473</v>
      </c>
      <c r="D932" s="14" t="n">
        <v>3476.3</v>
      </c>
      <c r="E932" s="14" t="n">
        <v>3400.9</v>
      </c>
      <c r="F932" s="14" t="n">
        <v>3417.3</v>
      </c>
      <c r="G932" s="9">
        <f>F932-F931</f>
        <v/>
      </c>
      <c r="H932" s="10">
        <f>IF(F931=0,0,G932/F931)</f>
        <v/>
      </c>
      <c r="I932" s="8">
        <f>D932-E932</f>
        <v/>
      </c>
      <c r="J932" s="4">
        <f>IF(F932&gt;C932,"Up",IF(F932&lt;C932,"Down","Flat"))</f>
        <v/>
      </c>
      <c r="K932" s="14" t="n">
        <v>71.29000000000001</v>
      </c>
      <c r="L932" s="15" t="n">
        <v>58.33</v>
      </c>
      <c r="M932" s="14" t="n">
        <v>3352.97</v>
      </c>
      <c r="N932" s="14" t="n">
        <v>3273.25</v>
      </c>
      <c r="O932" s="14" t="n">
        <v>2931.94</v>
      </c>
      <c r="P932" s="4">
        <f>IF(O932="","",IF(F932&gt;O932,"Above","Below"))</f>
        <v/>
      </c>
      <c r="Q932" s="16" t="n">
        <v>192505</v>
      </c>
      <c r="R932" s="17" t="n">
        <v>0</v>
      </c>
      <c r="S932" s="17" t="n">
        <v>0</v>
      </c>
      <c r="T932" s="17" t="n">
        <v>0</v>
      </c>
      <c r="U932" s="18" t="n">
        <v>0</v>
      </c>
    </row>
    <row r="933">
      <c r="A933" s="13" t="n">
        <v>45825</v>
      </c>
      <c r="B933" s="4">
        <f>TEXT(A933,"ddd")</f>
        <v/>
      </c>
      <c r="C933" s="14" t="n">
        <v>3404.2</v>
      </c>
      <c r="D933" s="14" t="n">
        <v>3422.7</v>
      </c>
      <c r="E933" s="14" t="n">
        <v>3384.4</v>
      </c>
      <c r="F933" s="14" t="n">
        <v>3406.9</v>
      </c>
      <c r="G933" s="9">
        <f>F933-F932</f>
        <v/>
      </c>
      <c r="H933" s="10">
        <f>IF(F932=0,0,G933/F932)</f>
        <v/>
      </c>
      <c r="I933" s="8">
        <f>D933-E933</f>
        <v/>
      </c>
      <c r="J933" s="4">
        <f>IF(F933&gt;C933,"Up",IF(F933&lt;C933,"Down","Flat"))</f>
        <v/>
      </c>
      <c r="K933" s="14" t="n">
        <v>68.93000000000001</v>
      </c>
      <c r="L933" s="15" t="n">
        <v>57.12</v>
      </c>
      <c r="M933" s="14" t="n">
        <v>3358.11</v>
      </c>
      <c r="N933" s="14" t="n">
        <v>3278.49</v>
      </c>
      <c r="O933" s="14" t="n">
        <v>2936.66</v>
      </c>
      <c r="P933" s="4">
        <f>IF(O933="","",IF(F933&gt;O933,"Above","Below"))</f>
        <v/>
      </c>
      <c r="Q933" s="16" t="n">
        <v>209083</v>
      </c>
      <c r="R933" s="17" t="n">
        <v>0</v>
      </c>
      <c r="S933" s="17" t="n">
        <v>0</v>
      </c>
      <c r="T933" s="17" t="n">
        <v>0</v>
      </c>
      <c r="U933" s="18" t="n">
        <v>0</v>
      </c>
    </row>
    <row r="934">
      <c r="A934" s="13" t="n">
        <v>45826</v>
      </c>
      <c r="B934" s="4">
        <f>TEXT(A934,"ddd")</f>
        <v/>
      </c>
      <c r="C934" s="14" t="n">
        <v>3409</v>
      </c>
      <c r="D934" s="14" t="n">
        <v>3419</v>
      </c>
      <c r="E934" s="14" t="n">
        <v>3380.1</v>
      </c>
      <c r="F934" s="14" t="n">
        <v>3408.1</v>
      </c>
      <c r="G934" s="9">
        <f>F934-F933</f>
        <v/>
      </c>
      <c r="H934" s="10">
        <f>IF(F933=0,0,G934/F933)</f>
        <v/>
      </c>
      <c r="I934" s="8">
        <f>D934-E934</f>
        <v/>
      </c>
      <c r="J934" s="4">
        <f>IF(F934&gt;C934,"Up",IF(F934&lt;C934,"Down","Flat"))</f>
        <v/>
      </c>
      <c r="K934" s="14" t="n">
        <v>66.79000000000001</v>
      </c>
      <c r="L934" s="15" t="n">
        <v>57.23</v>
      </c>
      <c r="M934" s="14" t="n">
        <v>3362.87</v>
      </c>
      <c r="N934" s="14" t="n">
        <v>3283.58</v>
      </c>
      <c r="O934" s="14" t="n">
        <v>2941.35</v>
      </c>
      <c r="P934" s="4">
        <f>IF(O934="","",IF(F934&gt;O934,"Above","Below"))</f>
        <v/>
      </c>
      <c r="Q934" s="16" t="n">
        <v>0</v>
      </c>
      <c r="R934" s="17" t="n">
        <v>0</v>
      </c>
      <c r="S934" s="17" t="n">
        <v>0</v>
      </c>
      <c r="T934" s="17" t="n">
        <v>0</v>
      </c>
      <c r="U934" s="18" t="n">
        <v>0</v>
      </c>
    </row>
    <row r="935">
      <c r="A935" s="13" t="n">
        <v>45828</v>
      </c>
      <c r="B935" s="4">
        <f>TEXT(A935,"ddd")</f>
        <v/>
      </c>
      <c r="C935" s="14" t="n">
        <v>3387.1</v>
      </c>
      <c r="D935" s="14" t="n">
        <v>3405.2</v>
      </c>
      <c r="E935" s="14" t="n">
        <v>3356.2</v>
      </c>
      <c r="F935" s="14" t="n">
        <v>3385.7</v>
      </c>
      <c r="G935" s="9">
        <f>F935-F934</f>
        <v/>
      </c>
      <c r="H935" s="10">
        <f>IF(F934=0,0,G935/F934)</f>
        <v/>
      </c>
      <c r="I935" s="8">
        <f>D935-E935</f>
        <v/>
      </c>
      <c r="J935" s="4">
        <f>IF(F935&gt;C935,"Up",IF(F935&lt;C935,"Down","Flat"))</f>
        <v/>
      </c>
      <c r="K935" s="14" t="n">
        <v>65.72</v>
      </c>
      <c r="L935" s="15" t="n">
        <v>54.42</v>
      </c>
      <c r="M935" s="14" t="n">
        <v>3365.04</v>
      </c>
      <c r="N935" s="14" t="n">
        <v>3287.58</v>
      </c>
      <c r="O935" s="14" t="n">
        <v>2945.78</v>
      </c>
      <c r="P935" s="4">
        <f>IF(O935="","",IF(F935&gt;O935,"Above","Below"))</f>
        <v/>
      </c>
      <c r="Q935" s="16" t="n">
        <v>280833</v>
      </c>
      <c r="R935" s="17" t="n">
        <v>0</v>
      </c>
      <c r="S935" s="17" t="n">
        <v>0</v>
      </c>
      <c r="T935" s="17" t="n">
        <v>0</v>
      </c>
      <c r="U935" s="18" t="n">
        <v>0</v>
      </c>
    </row>
    <row r="936">
      <c r="A936" s="13" t="n">
        <v>45831</v>
      </c>
      <c r="B936" s="4">
        <f>TEXT(A936,"ddd")</f>
        <v/>
      </c>
      <c r="C936" s="14" t="n">
        <v>3400.7</v>
      </c>
      <c r="D936" s="14" t="n">
        <v>3413.8</v>
      </c>
      <c r="E936" s="14" t="n">
        <v>3361.4</v>
      </c>
      <c r="F936" s="14" t="n">
        <v>3395</v>
      </c>
      <c r="G936" s="9">
        <f>F936-F935</f>
        <v/>
      </c>
      <c r="H936" s="10">
        <f>IF(F935=0,0,G936/F935)</f>
        <v/>
      </c>
      <c r="I936" s="8">
        <f>D936-E936</f>
        <v/>
      </c>
      <c r="J936" s="4">
        <f>IF(F936&gt;C936,"Up",IF(F936&lt;C936,"Down","Flat"))</f>
        <v/>
      </c>
      <c r="K936" s="14" t="n">
        <v>64.77</v>
      </c>
      <c r="L936" s="15" t="n">
        <v>55.4</v>
      </c>
      <c r="M936" s="14" t="n">
        <v>3367.9</v>
      </c>
      <c r="N936" s="14" t="n">
        <v>3291.79</v>
      </c>
      <c r="O936" s="14" t="n">
        <v>2950.25</v>
      </c>
      <c r="P936" s="4">
        <f>IF(O936="","",IF(F936&gt;O936,"Above","Below"))</f>
        <v/>
      </c>
      <c r="Q936" s="16" t="n">
        <v>193872</v>
      </c>
      <c r="R936" s="17" t="n">
        <v>0</v>
      </c>
      <c r="S936" s="17" t="n">
        <v>0</v>
      </c>
      <c r="T936" s="17" t="n">
        <v>0</v>
      </c>
      <c r="U936" s="18" t="n">
        <v>0</v>
      </c>
    </row>
    <row r="937">
      <c r="A937" s="13" t="n">
        <v>45832</v>
      </c>
      <c r="B937" s="4">
        <f>TEXT(A937,"ddd")</f>
        <v/>
      </c>
      <c r="C937" s="14" t="n">
        <v>3383.8</v>
      </c>
      <c r="D937" s="14" t="n">
        <v>3385</v>
      </c>
      <c r="E937" s="14" t="n">
        <v>3308.3</v>
      </c>
      <c r="F937" s="14" t="n">
        <v>3333.9</v>
      </c>
      <c r="G937" s="9">
        <f>F937-F936</f>
        <v/>
      </c>
      <c r="H937" s="10">
        <f>IF(F936=0,0,G937/F936)</f>
        <v/>
      </c>
      <c r="I937" s="8">
        <f>D937-E937</f>
        <v/>
      </c>
      <c r="J937" s="4">
        <f>IF(F937&gt;C937,"Up",IF(F937&lt;C937,"Down","Flat"))</f>
        <v/>
      </c>
      <c r="K937" s="14" t="n">
        <v>66.34</v>
      </c>
      <c r="L937" s="15" t="n">
        <v>48.07</v>
      </c>
      <c r="M937" s="14" t="n">
        <v>3364.66</v>
      </c>
      <c r="N937" s="14" t="n">
        <v>3293.44</v>
      </c>
      <c r="O937" s="14" t="n">
        <v>2954.06</v>
      </c>
      <c r="P937" s="4">
        <f>IF(O937="","",IF(F937&gt;O937,"Above","Below"))</f>
        <v/>
      </c>
      <c r="Q937" s="16" t="n">
        <v>227429</v>
      </c>
      <c r="R937" s="17" t="n">
        <v>0</v>
      </c>
      <c r="S937" s="17" t="n">
        <v>0</v>
      </c>
      <c r="T937" s="17" t="n">
        <v>0</v>
      </c>
      <c r="U937" s="18" t="n">
        <v>0</v>
      </c>
    </row>
    <row r="938">
      <c r="A938" s="13" t="n">
        <v>45833</v>
      </c>
      <c r="B938" s="4">
        <f>TEXT(A938,"ddd")</f>
        <v/>
      </c>
      <c r="C938" s="14" t="n">
        <v>3338.1</v>
      </c>
      <c r="D938" s="14" t="n">
        <v>3351.3</v>
      </c>
      <c r="E938" s="14" t="n">
        <v>3325.5</v>
      </c>
      <c r="F938" s="14" t="n">
        <v>3343.1</v>
      </c>
      <c r="G938" s="9">
        <f>F938-F937</f>
        <v/>
      </c>
      <c r="H938" s="10">
        <f>IF(F937=0,0,G938/F937)</f>
        <v/>
      </c>
      <c r="I938" s="8">
        <f>D938-E938</f>
        <v/>
      </c>
      <c r="J938" s="4">
        <f>IF(F938&gt;C938,"Up",IF(F938&lt;C938,"Down","Flat"))</f>
        <v/>
      </c>
      <c r="K938" s="14" t="n">
        <v>63.44</v>
      </c>
      <c r="L938" s="15" t="n">
        <v>49.16</v>
      </c>
      <c r="M938" s="14" t="n">
        <v>3362.61</v>
      </c>
      <c r="N938" s="14" t="n">
        <v>3295.39</v>
      </c>
      <c r="O938" s="14" t="n">
        <v>2957.93</v>
      </c>
      <c r="P938" s="4">
        <f>IF(O938="","",IF(F938&gt;O938,"Above","Below"))</f>
        <v/>
      </c>
      <c r="Q938" s="16" t="n">
        <v>130010</v>
      </c>
      <c r="R938" s="17" t="n">
        <v>0</v>
      </c>
      <c r="S938" s="17" t="n">
        <v>0</v>
      </c>
      <c r="T938" s="17" t="n">
        <v>0</v>
      </c>
      <c r="U938" s="18" t="n">
        <v>0</v>
      </c>
    </row>
    <row r="939">
      <c r="A939" s="13" t="n">
        <v>45834</v>
      </c>
      <c r="B939" s="4">
        <f>TEXT(A939,"ddd")</f>
        <v/>
      </c>
      <c r="C939" s="14" t="n">
        <v>3347.5</v>
      </c>
      <c r="D939" s="14" t="n">
        <v>3363.9</v>
      </c>
      <c r="E939" s="14" t="n">
        <v>3322.5</v>
      </c>
      <c r="F939" s="14" t="n">
        <v>3348</v>
      </c>
      <c r="G939" s="9">
        <f>F939-F938</f>
        <v/>
      </c>
      <c r="H939" s="10">
        <f>IF(F938=0,0,G939/F938)</f>
        <v/>
      </c>
      <c r="I939" s="8">
        <f>D939-E939</f>
        <v/>
      </c>
      <c r="J939" s="4">
        <f>IF(F939&gt;C939,"Up",IF(F939&lt;C939,"Down","Flat"))</f>
        <v/>
      </c>
      <c r="K939" s="14" t="n">
        <v>61.87</v>
      </c>
      <c r="L939" s="15" t="n">
        <v>49.77</v>
      </c>
      <c r="M939" s="14" t="n">
        <v>3361.22</v>
      </c>
      <c r="N939" s="14" t="n">
        <v>3297.45</v>
      </c>
      <c r="O939" s="14" t="n">
        <v>2961.82</v>
      </c>
      <c r="P939" s="4">
        <f>IF(O939="","",IF(F939&gt;O939,"Above","Below"))</f>
        <v/>
      </c>
      <c r="Q939" s="16" t="n">
        <v>155584</v>
      </c>
      <c r="R939" s="17" t="n">
        <v>0</v>
      </c>
      <c r="S939" s="17" t="n">
        <v>0</v>
      </c>
      <c r="T939" s="17" t="n">
        <v>0</v>
      </c>
      <c r="U939" s="18" t="n">
        <v>0</v>
      </c>
    </row>
    <row r="940">
      <c r="A940" s="13" t="n">
        <v>45835</v>
      </c>
      <c r="B940" s="4">
        <f>TEXT(A940,"ddd")</f>
        <v/>
      </c>
      <c r="C940" s="14" t="n">
        <v>3341.3</v>
      </c>
      <c r="D940" s="14" t="n">
        <v>3341.4</v>
      </c>
      <c r="E940" s="14" t="n">
        <v>3266.5</v>
      </c>
      <c r="F940" s="14" t="n">
        <v>3287.6</v>
      </c>
      <c r="G940" s="9">
        <f>F940-F939</f>
        <v/>
      </c>
      <c r="H940" s="10">
        <f>IF(F939=0,0,G940/F939)</f>
        <v/>
      </c>
      <c r="I940" s="8">
        <f>D940-E940</f>
        <v/>
      </c>
      <c r="J940" s="4">
        <f>IF(F940&gt;C940,"Up",IF(F940&lt;C940,"Down","Flat"))</f>
        <v/>
      </c>
      <c r="K940" s="14" t="n">
        <v>63.27</v>
      </c>
      <c r="L940" s="15" t="n">
        <v>42.98</v>
      </c>
      <c r="M940" s="14" t="n">
        <v>3354.2</v>
      </c>
      <c r="N940" s="14" t="n">
        <v>3297.07</v>
      </c>
      <c r="O940" s="14" t="n">
        <v>2965.06</v>
      </c>
      <c r="P940" s="4">
        <f>IF(O940="","",IF(F940&gt;O940,"Above","Below"))</f>
        <v/>
      </c>
      <c r="Q940" s="16" t="n">
        <v>218869</v>
      </c>
      <c r="R940" s="17" t="n">
        <v>0</v>
      </c>
      <c r="S940" s="17" t="n">
        <v>0</v>
      </c>
      <c r="T940" s="17" t="n">
        <v>0</v>
      </c>
      <c r="U940" s="18" t="n">
        <v>0</v>
      </c>
    </row>
    <row r="941">
      <c r="A941" s="13" t="n">
        <v>45838</v>
      </c>
      <c r="B941" s="4">
        <f>TEXT(A941,"ddd")</f>
        <v/>
      </c>
      <c r="C941" s="14" t="n">
        <v>3284.3</v>
      </c>
      <c r="D941" s="14" t="n">
        <v>3321.6</v>
      </c>
      <c r="E941" s="14" t="n">
        <v>3250.5</v>
      </c>
      <c r="F941" s="14" t="n">
        <v>3307.7</v>
      </c>
      <c r="G941" s="9">
        <f>F941-F940</f>
        <v/>
      </c>
      <c r="H941" s="10">
        <f>IF(F940=0,0,G941/F940)</f>
        <v/>
      </c>
      <c r="I941" s="8">
        <f>D941-E941</f>
        <v/>
      </c>
      <c r="J941" s="4">
        <f>IF(F941&gt;C941,"Up",IF(F941&lt;C941,"Down","Flat"))</f>
        <v/>
      </c>
      <c r="K941" s="14" t="n">
        <v>63.83</v>
      </c>
      <c r="L941" s="15" t="n">
        <v>45.64</v>
      </c>
      <c r="M941" s="14" t="n">
        <v>3349.78</v>
      </c>
      <c r="N941" s="14" t="n">
        <v>3297.49</v>
      </c>
      <c r="O941" s="14" t="n">
        <v>2968.47</v>
      </c>
      <c r="P941" s="4">
        <f>IF(O941="","",IF(F941&gt;O941,"Above","Below"))</f>
        <v/>
      </c>
      <c r="Q941" s="16" t="n">
        <v>144201</v>
      </c>
      <c r="R941" s="17" t="n">
        <v>0</v>
      </c>
      <c r="S941" s="17" t="n">
        <v>0</v>
      </c>
      <c r="T941" s="17" t="n">
        <v>0</v>
      </c>
      <c r="U941" s="18" t="n">
        <v>0</v>
      </c>
    </row>
    <row r="942">
      <c r="A942" s="13" t="n">
        <v>45839</v>
      </c>
      <c r="B942" s="4">
        <f>TEXT(A942,"ddd")</f>
        <v/>
      </c>
      <c r="C942" s="14" t="n">
        <v>3315.7</v>
      </c>
      <c r="D942" s="14" t="n">
        <v>3370.5</v>
      </c>
      <c r="E942" s="14" t="n">
        <v>3313.7</v>
      </c>
      <c r="F942" s="14" t="n">
        <v>3349.8</v>
      </c>
      <c r="G942" s="9">
        <f>F942-F941</f>
        <v/>
      </c>
      <c r="H942" s="10">
        <f>IF(F941=0,0,G942/F941)</f>
        <v/>
      </c>
      <c r="I942" s="8">
        <f>D942-E942</f>
        <v/>
      </c>
      <c r="J942" s="4">
        <f>IF(F942&gt;C942,"Up",IF(F942&lt;C942,"Down","Flat"))</f>
        <v/>
      </c>
      <c r="K942" s="14" t="n">
        <v>63.76</v>
      </c>
      <c r="L942" s="15" t="n">
        <v>50.81</v>
      </c>
      <c r="M942" s="14" t="n">
        <v>3349.78</v>
      </c>
      <c r="N942" s="14" t="n">
        <v>3299.54</v>
      </c>
      <c r="O942" s="14" t="n">
        <v>2972.26</v>
      </c>
      <c r="P942" s="4">
        <f>IF(O942="","",IF(F942&gt;O942,"Above","Below"))</f>
        <v/>
      </c>
      <c r="Q942" s="16" t="n">
        <v>168854</v>
      </c>
      <c r="R942" s="17" t="n">
        <v>0</v>
      </c>
      <c r="S942" s="17" t="n">
        <v>0</v>
      </c>
      <c r="T942" s="17" t="n">
        <v>0</v>
      </c>
      <c r="U942" s="18" t="n">
        <v>0</v>
      </c>
    </row>
    <row r="943">
      <c r="A943" s="13" t="n">
        <v>45840</v>
      </c>
      <c r="B943" s="4">
        <f>TEXT(A943,"ddd")</f>
        <v/>
      </c>
      <c r="C943" s="14" t="n">
        <v>3350</v>
      </c>
      <c r="D943" s="14" t="n">
        <v>3371</v>
      </c>
      <c r="E943" s="14" t="n">
        <v>3337.2</v>
      </c>
      <c r="F943" s="14" t="n">
        <v>3359.7</v>
      </c>
      <c r="G943" s="9">
        <f>F943-F942</f>
        <v/>
      </c>
      <c r="H943" s="10">
        <f>IF(F942=0,0,G943/F942)</f>
        <v/>
      </c>
      <c r="I943" s="8">
        <f>D943-E943</f>
        <v/>
      </c>
      <c r="J943" s="4">
        <f>IF(F943&gt;C943,"Up",IF(F943&lt;C943,"Down","Flat"))</f>
        <v/>
      </c>
      <c r="K943" s="14" t="n">
        <v>61.62</v>
      </c>
      <c r="L943" s="15" t="n">
        <v>51.97</v>
      </c>
      <c r="M943" s="14" t="n">
        <v>3350.72</v>
      </c>
      <c r="N943" s="14" t="n">
        <v>3301.9</v>
      </c>
      <c r="O943" s="14" t="n">
        <v>2976.12</v>
      </c>
      <c r="P943" s="4">
        <f>IF(O943="","",IF(F943&gt;O943,"Above","Below"))</f>
        <v/>
      </c>
      <c r="Q943" s="16" t="n">
        <v>132187</v>
      </c>
      <c r="R943" s="17" t="n">
        <v>0</v>
      </c>
      <c r="S943" s="17" t="n">
        <v>0</v>
      </c>
      <c r="T943" s="17" t="n">
        <v>0</v>
      </c>
      <c r="U943" s="18" t="n">
        <v>0</v>
      </c>
    </row>
    <row r="944">
      <c r="A944" s="13" t="n">
        <v>45841</v>
      </c>
      <c r="B944" s="4">
        <f>TEXT(A944,"ddd")</f>
        <v/>
      </c>
      <c r="C944" s="14" t="n">
        <v>3369</v>
      </c>
      <c r="D944" s="14" t="n">
        <v>3376.9</v>
      </c>
      <c r="E944" s="14" t="n">
        <v>3321.4</v>
      </c>
      <c r="F944" s="14" t="n">
        <v>3342.9</v>
      </c>
      <c r="G944" s="9">
        <f>F944-F943</f>
        <v/>
      </c>
      <c r="H944" s="10">
        <f>IF(F943=0,0,G944/F943)</f>
        <v/>
      </c>
      <c r="I944" s="8">
        <f>D944-E944</f>
        <v/>
      </c>
      <c r="J944" s="4">
        <f>IF(F944&gt;C944,"Up",IF(F944&lt;C944,"Down","Flat"))</f>
        <v/>
      </c>
      <c r="K944" s="14" t="n">
        <v>61.18</v>
      </c>
      <c r="L944" s="15" t="n">
        <v>49.82</v>
      </c>
      <c r="M944" s="14" t="n">
        <v>3349.98</v>
      </c>
      <c r="N944" s="14" t="n">
        <v>3303.5</v>
      </c>
      <c r="O944" s="14" t="n">
        <v>2979.77</v>
      </c>
      <c r="P944" s="4">
        <f>IF(O944="","",IF(F944&gt;O944,"Above","Below"))</f>
        <v/>
      </c>
      <c r="Q944" s="16" t="n">
        <v>0</v>
      </c>
      <c r="R944" s="17" t="n">
        <v>0</v>
      </c>
      <c r="S944" s="17" t="n">
        <v>0</v>
      </c>
      <c r="T944" s="17" t="n">
        <v>0</v>
      </c>
      <c r="U944" s="18" t="n">
        <v>0</v>
      </c>
    </row>
    <row r="945">
      <c r="A945" s="13" t="n">
        <v>45842</v>
      </c>
      <c r="B945" s="4">
        <f>TEXT(A945,"ddd")</f>
        <v/>
      </c>
      <c r="C945" s="14" t="n">
        <v>3335</v>
      </c>
      <c r="D945" s="14" t="n">
        <v>3355</v>
      </c>
      <c r="E945" s="14" t="n">
        <v>3332.8</v>
      </c>
      <c r="F945" s="14" t="n">
        <v>3346.5</v>
      </c>
      <c r="G945" s="9">
        <f>F945-F944</f>
        <v/>
      </c>
      <c r="H945" s="10">
        <f>IF(F944=0,0,G945/F944)</f>
        <v/>
      </c>
      <c r="I945" s="8">
        <f>D945-E945</f>
        <v/>
      </c>
      <c r="J945" s="4">
        <f>IF(F945&gt;C945,"Up",IF(F945&lt;C945,"Down","Flat"))</f>
        <v/>
      </c>
      <c r="K945" s="14" t="n">
        <v>58.39</v>
      </c>
      <c r="L945" s="15" t="n">
        <v>50.3</v>
      </c>
      <c r="M945" s="14" t="n">
        <v>3349.65</v>
      </c>
      <c r="N945" s="14" t="n">
        <v>3305.19</v>
      </c>
      <c r="O945" s="14" t="n">
        <v>2983.41</v>
      </c>
      <c r="P945" s="4">
        <f>IF(O945="","",IF(F945&gt;O945,"Above","Below"))</f>
        <v/>
      </c>
      <c r="Q945" s="16" t="n">
        <v>0</v>
      </c>
      <c r="R945" s="17" t="n">
        <v>0</v>
      </c>
      <c r="S945" s="17" t="n">
        <v>0</v>
      </c>
      <c r="T945" s="17" t="n">
        <v>0</v>
      </c>
      <c r="U945" s="18" t="n">
        <v>0</v>
      </c>
    </row>
    <row r="946">
      <c r="A946" s="13" t="n">
        <v>45845</v>
      </c>
      <c r="B946" s="4">
        <f>TEXT(A946,"ddd")</f>
        <v/>
      </c>
      <c r="C946" s="14" t="n">
        <v>3344.5</v>
      </c>
      <c r="D946" s="14" t="n">
        <v>3352.9</v>
      </c>
      <c r="E946" s="14" t="n">
        <v>3304.4</v>
      </c>
      <c r="F946" s="14" t="n">
        <v>3342.8</v>
      </c>
      <c r="G946" s="9">
        <f>F946-F945</f>
        <v/>
      </c>
      <c r="H946" s="10">
        <f>IF(F945=0,0,G946/F945)</f>
        <v/>
      </c>
      <c r="I946" s="8">
        <f>D946-E946</f>
        <v/>
      </c>
      <c r="J946" s="4">
        <f>IF(F946&gt;C946,"Up",IF(F946&lt;C946,"Down","Flat"))</f>
        <v/>
      </c>
      <c r="K946" s="14" t="n">
        <v>57.69</v>
      </c>
      <c r="L946" s="15" t="n">
        <v>49.78</v>
      </c>
      <c r="M946" s="14" t="n">
        <v>3348.99</v>
      </c>
      <c r="N946" s="14" t="n">
        <v>3306.67</v>
      </c>
      <c r="O946" s="14" t="n">
        <v>2986.99</v>
      </c>
      <c r="P946" s="4">
        <f>IF(O946="","",IF(F946&gt;O946,"Above","Below"))</f>
        <v/>
      </c>
      <c r="Q946" s="16" t="n">
        <v>235762</v>
      </c>
      <c r="R946" s="17" t="n">
        <v>0</v>
      </c>
      <c r="S946" s="17" t="n">
        <v>0</v>
      </c>
      <c r="T946" s="17" t="n">
        <v>0</v>
      </c>
      <c r="U946" s="18" t="n">
        <v>0</v>
      </c>
    </row>
    <row r="947">
      <c r="A947" s="13" t="n">
        <v>45846</v>
      </c>
      <c r="B947" s="4">
        <f>TEXT(A947,"ddd")</f>
        <v/>
      </c>
      <c r="C947" s="14" t="n">
        <v>3348.9</v>
      </c>
      <c r="D947" s="14" t="n">
        <v>3355.6</v>
      </c>
      <c r="E947" s="14" t="n">
        <v>3295.4</v>
      </c>
      <c r="F947" s="14" t="n">
        <v>3316.9</v>
      </c>
      <c r="G947" s="9">
        <f>F947-F946</f>
        <v/>
      </c>
      <c r="H947" s="10">
        <f>IF(F946=0,0,G947/F946)</f>
        <v/>
      </c>
      <c r="I947" s="8">
        <f>D947-E947</f>
        <v/>
      </c>
      <c r="J947" s="4">
        <f>IF(F947&gt;C947,"Up",IF(F947&lt;C947,"Down","Flat"))</f>
        <v/>
      </c>
      <c r="K947" s="14" t="n">
        <v>57.87</v>
      </c>
      <c r="L947" s="15" t="n">
        <v>46.18</v>
      </c>
      <c r="M947" s="14" t="n">
        <v>3345.94</v>
      </c>
      <c r="N947" s="14" t="n">
        <v>3307.07</v>
      </c>
      <c r="O947" s="14" t="n">
        <v>2990.27</v>
      </c>
      <c r="P947" s="4">
        <f>IF(O947="","",IF(F947&gt;O947,"Above","Below"))</f>
        <v/>
      </c>
      <c r="Q947" s="16" t="n">
        <v>218029</v>
      </c>
      <c r="R947" s="17" t="n">
        <v>0</v>
      </c>
      <c r="S947" s="17" t="n">
        <v>0</v>
      </c>
      <c r="T947" s="17" t="n">
        <v>0</v>
      </c>
      <c r="U947" s="18" t="n">
        <v>0</v>
      </c>
    </row>
    <row r="948">
      <c r="A948" s="13" t="n">
        <v>45847</v>
      </c>
      <c r="B948" s="4">
        <f>TEXT(A948,"ddd")</f>
        <v/>
      </c>
      <c r="C948" s="14" t="n">
        <v>3310.6</v>
      </c>
      <c r="D948" s="14" t="n">
        <v>3325.6</v>
      </c>
      <c r="E948" s="14" t="n">
        <v>3290.2</v>
      </c>
      <c r="F948" s="14" t="n">
        <v>3321</v>
      </c>
      <c r="G948" s="9">
        <f>F948-F947</f>
        <v/>
      </c>
      <c r="H948" s="10">
        <f>IF(F947=0,0,G948/F947)</f>
        <v/>
      </c>
      <c r="I948" s="8">
        <f>D948-E948</f>
        <v/>
      </c>
      <c r="J948" s="4">
        <f>IF(F948&gt;C948,"Up",IF(F948&lt;C948,"Down","Flat"))</f>
        <v/>
      </c>
      <c r="K948" s="14" t="n">
        <v>56.26</v>
      </c>
      <c r="L948" s="15" t="n">
        <v>46.84</v>
      </c>
      <c r="M948" s="14" t="n">
        <v>3343.56</v>
      </c>
      <c r="N948" s="14" t="n">
        <v>3307.61</v>
      </c>
      <c r="O948" s="14" t="n">
        <v>2993.56</v>
      </c>
      <c r="P948" s="4">
        <f>IF(O948="","",IF(F948&gt;O948,"Above","Below"))</f>
        <v/>
      </c>
      <c r="Q948" s="16" t="n">
        <v>167968</v>
      </c>
      <c r="R948" s="17" t="n">
        <v>0</v>
      </c>
      <c r="S948" s="17" t="n">
        <v>0</v>
      </c>
      <c r="T948" s="17" t="n">
        <v>0</v>
      </c>
      <c r="U948" s="18" t="n">
        <v>0</v>
      </c>
    </row>
    <row r="949">
      <c r="A949" s="13" t="n">
        <v>45848</v>
      </c>
      <c r="B949" s="4">
        <f>TEXT(A949,"ddd")</f>
        <v/>
      </c>
      <c r="C949" s="14" t="n">
        <v>3322.2</v>
      </c>
      <c r="D949" s="14" t="n">
        <v>3339.4</v>
      </c>
      <c r="E949" s="14" t="n">
        <v>3319.2</v>
      </c>
      <c r="F949" s="14" t="n">
        <v>3325.7</v>
      </c>
      <c r="G949" s="9">
        <f>F949-F948</f>
        <v/>
      </c>
      <c r="H949" s="10">
        <f>IF(F948=0,0,G949/F948)</f>
        <v/>
      </c>
      <c r="I949" s="8">
        <f>D949-E949</f>
        <v/>
      </c>
      <c r="J949" s="4">
        <f>IF(F949&gt;C949,"Up",IF(F949&lt;C949,"Down","Flat"))</f>
        <v/>
      </c>
      <c r="K949" s="14" t="n">
        <v>53.69</v>
      </c>
      <c r="L949" s="15" t="n">
        <v>47.62</v>
      </c>
      <c r="M949" s="14" t="n">
        <v>3341.86</v>
      </c>
      <c r="N949" s="14" t="n">
        <v>3308.32</v>
      </c>
      <c r="O949" s="14" t="n">
        <v>2996.87</v>
      </c>
      <c r="P949" s="4">
        <f>IF(O949="","",IF(F949&gt;O949,"Above","Below"))</f>
        <v/>
      </c>
      <c r="Q949" s="16" t="n">
        <v>168190</v>
      </c>
      <c r="R949" s="17" t="n">
        <v>0</v>
      </c>
      <c r="S949" s="17" t="n">
        <v>0</v>
      </c>
      <c r="T949" s="17" t="n">
        <v>0</v>
      </c>
      <c r="U949" s="18" t="n">
        <v>0</v>
      </c>
    </row>
    <row r="950">
      <c r="A950" s="13" t="n">
        <v>45849</v>
      </c>
      <c r="B950" s="4">
        <f>TEXT(A950,"ddd")</f>
        <v/>
      </c>
      <c r="C950" s="14" t="n">
        <v>3333.1</v>
      </c>
      <c r="D950" s="14" t="n">
        <v>3381.6</v>
      </c>
      <c r="E950" s="14" t="n">
        <v>3332.3</v>
      </c>
      <c r="F950" s="14" t="n">
        <v>3364</v>
      </c>
      <c r="G950" s="9">
        <f>F950-F949</f>
        <v/>
      </c>
      <c r="H950" s="10">
        <f>IF(F949=0,0,G950/F949)</f>
        <v/>
      </c>
      <c r="I950" s="8">
        <f>D950-E950</f>
        <v/>
      </c>
      <c r="J950" s="4">
        <f>IF(F950&gt;C950,"Up",IF(F950&lt;C950,"Down","Flat"))</f>
        <v/>
      </c>
      <c r="K950" s="14" t="n">
        <v>53.84</v>
      </c>
      <c r="L950" s="15" t="n">
        <v>53.64</v>
      </c>
      <c r="M950" s="14" t="n">
        <v>3343.97</v>
      </c>
      <c r="N950" s="14" t="n">
        <v>3310.51</v>
      </c>
      <c r="O950" s="14" t="n">
        <v>3000.52</v>
      </c>
      <c r="P950" s="4">
        <f>IF(O950="","",IF(F950&gt;O950,"Above","Below"))</f>
        <v/>
      </c>
      <c r="Q950" s="16" t="n">
        <v>216883</v>
      </c>
      <c r="R950" s="17" t="n">
        <v>0</v>
      </c>
      <c r="S950" s="17" t="n">
        <v>0</v>
      </c>
      <c r="T950" s="17" t="n">
        <v>0</v>
      </c>
      <c r="U950" s="18" t="n">
        <v>0</v>
      </c>
    </row>
    <row r="951">
      <c r="A951" s="13" t="n">
        <v>45852</v>
      </c>
      <c r="B951" s="4">
        <f>TEXT(A951,"ddd")</f>
        <v/>
      </c>
      <c r="C951" s="14" t="n">
        <v>3376.5</v>
      </c>
      <c r="D951" s="14" t="n">
        <v>3389.3</v>
      </c>
      <c r="E951" s="14" t="n">
        <v>3348.5</v>
      </c>
      <c r="F951" s="14" t="n">
        <v>3359.1</v>
      </c>
      <c r="G951" s="9">
        <f>F951-F950</f>
        <v/>
      </c>
      <c r="H951" s="10">
        <f>IF(F950=0,0,G951/F950)</f>
        <v/>
      </c>
      <c r="I951" s="8">
        <f>D951-E951</f>
        <v/>
      </c>
      <c r="J951" s="4">
        <f>IF(F951&gt;C951,"Up",IF(F951&lt;C951,"Down","Flat"))</f>
        <v/>
      </c>
      <c r="K951" s="14" t="n">
        <v>52.91</v>
      </c>
      <c r="L951" s="15" t="n">
        <v>52.8</v>
      </c>
      <c r="M951" s="14" t="n">
        <v>3345.41</v>
      </c>
      <c r="N951" s="14" t="n">
        <v>3312.41</v>
      </c>
      <c r="O951" s="14" t="n">
        <v>3004.09</v>
      </c>
      <c r="P951" s="4">
        <f>IF(O951="","",IF(F951&gt;O951,"Above","Below"))</f>
        <v/>
      </c>
      <c r="Q951" s="16" t="n">
        <v>195336</v>
      </c>
      <c r="R951" s="17" t="n">
        <v>0</v>
      </c>
      <c r="S951" s="17" t="n">
        <v>0</v>
      </c>
      <c r="T951" s="17" t="n">
        <v>0</v>
      </c>
      <c r="U951" s="18" t="n">
        <v>0</v>
      </c>
    </row>
    <row r="952">
      <c r="A952" s="13" t="n">
        <v>45853</v>
      </c>
      <c r="B952" s="4">
        <f>TEXT(A952,"ddd")</f>
        <v/>
      </c>
      <c r="C952" s="14" t="n">
        <v>3352</v>
      </c>
      <c r="D952" s="14" t="n">
        <v>3375.4</v>
      </c>
      <c r="E952" s="14" t="n">
        <v>3327.3</v>
      </c>
      <c r="F952" s="14" t="n">
        <v>3336.7</v>
      </c>
      <c r="G952" s="9">
        <f>F952-F951</f>
        <v/>
      </c>
      <c r="H952" s="10">
        <f>IF(F951=0,0,G952/F951)</f>
        <v/>
      </c>
      <c r="I952" s="8">
        <f>D952-E952</f>
        <v/>
      </c>
      <c r="J952" s="4">
        <f>IF(F952&gt;C952,"Up",IF(F952&lt;C952,"Down","Flat"))</f>
        <v/>
      </c>
      <c r="K952" s="14" t="n">
        <v>52.57</v>
      </c>
      <c r="L952" s="15" t="n">
        <v>49.04</v>
      </c>
      <c r="M952" s="14" t="n">
        <v>3344.58</v>
      </c>
      <c r="N952" s="14" t="n">
        <v>3313.36</v>
      </c>
      <c r="O952" s="14" t="n">
        <v>3007.4</v>
      </c>
      <c r="P952" s="4">
        <f>IF(O952="","",IF(F952&gt;O952,"Above","Below"))</f>
        <v/>
      </c>
      <c r="Q952" s="16" t="n">
        <v>179884</v>
      </c>
      <c r="R952" s="17" t="n">
        <v>0</v>
      </c>
      <c r="S952" s="17" t="n">
        <v>0</v>
      </c>
      <c r="T952" s="17" t="n">
        <v>0</v>
      </c>
      <c r="U952" s="18" t="n">
        <v>0</v>
      </c>
    </row>
    <row r="953">
      <c r="A953" s="13" t="n">
        <v>45854</v>
      </c>
      <c r="B953" s="4">
        <f>TEXT(A953,"ddd")</f>
        <v/>
      </c>
      <c r="C953" s="14" t="n">
        <v>3330.5</v>
      </c>
      <c r="D953" s="14" t="n">
        <v>3385.8</v>
      </c>
      <c r="E953" s="14" t="n">
        <v>3326.1</v>
      </c>
      <c r="F953" s="14" t="n">
        <v>3359.1</v>
      </c>
      <c r="G953" s="9">
        <f>F953-F952</f>
        <v/>
      </c>
      <c r="H953" s="10">
        <f>IF(F952=0,0,G953/F952)</f>
        <v/>
      </c>
      <c r="I953" s="8">
        <f>D953-E953</f>
        <v/>
      </c>
      <c r="J953" s="4">
        <f>IF(F953&gt;C953,"Up",IF(F953&lt;C953,"Down","Flat"))</f>
        <v/>
      </c>
      <c r="K953" s="14" t="n">
        <v>53.08</v>
      </c>
      <c r="L953" s="15" t="n">
        <v>52.67</v>
      </c>
      <c r="M953" s="14" t="n">
        <v>3345.96</v>
      </c>
      <c r="N953" s="14" t="n">
        <v>3315.16</v>
      </c>
      <c r="O953" s="14" t="n">
        <v>3010.9</v>
      </c>
      <c r="P953" s="4">
        <f>IF(O953="","",IF(F953&gt;O953,"Above","Below"))</f>
        <v/>
      </c>
      <c r="Q953" s="16" t="n">
        <v>235160</v>
      </c>
      <c r="R953" s="17" t="n">
        <v>0</v>
      </c>
      <c r="S953" s="17" t="n">
        <v>0</v>
      </c>
      <c r="T953" s="17" t="n">
        <v>0</v>
      </c>
      <c r="U953" s="18" t="n">
        <v>0</v>
      </c>
    </row>
    <row r="954">
      <c r="A954" s="13" t="n">
        <v>45855</v>
      </c>
      <c r="B954" s="4">
        <f>TEXT(A954,"ddd")</f>
        <v/>
      </c>
      <c r="C954" s="14" t="n">
        <v>3354.7</v>
      </c>
      <c r="D954" s="14" t="n">
        <v>3358.2</v>
      </c>
      <c r="E954" s="14" t="n">
        <v>3314.3</v>
      </c>
      <c r="F954" s="14" t="n">
        <v>3345.3</v>
      </c>
      <c r="G954" s="9">
        <f>F954-F953</f>
        <v/>
      </c>
      <c r="H954" s="10">
        <f>IF(F953=0,0,G954/F953)</f>
        <v/>
      </c>
      <c r="I954" s="8">
        <f>D954-E954</f>
        <v/>
      </c>
      <c r="J954" s="4">
        <f>IF(F954&gt;C954,"Up",IF(F954&lt;C954,"Down","Flat"))</f>
        <v/>
      </c>
      <c r="K954" s="14" t="n">
        <v>52.49</v>
      </c>
      <c r="L954" s="15" t="n">
        <v>50.3</v>
      </c>
      <c r="M954" s="14" t="n">
        <v>3345.9</v>
      </c>
      <c r="N954" s="14" t="n">
        <v>3316.34</v>
      </c>
      <c r="O954" s="14" t="n">
        <v>3014.23</v>
      </c>
      <c r="P954" s="4">
        <f>IF(O954="","",IF(F954&gt;O954,"Above","Below"))</f>
        <v/>
      </c>
      <c r="Q954" s="16" t="n">
        <v>161740</v>
      </c>
      <c r="R954" s="17" t="n">
        <v>0</v>
      </c>
      <c r="S954" s="17" t="n">
        <v>0</v>
      </c>
      <c r="T954" s="17" t="n">
        <v>0</v>
      </c>
      <c r="U954" s="18" t="n">
        <v>0</v>
      </c>
    </row>
    <row r="955">
      <c r="A955" s="13" t="n">
        <v>45856</v>
      </c>
      <c r="B955" s="4">
        <f>TEXT(A955,"ddd")</f>
        <v/>
      </c>
      <c r="C955" s="14" t="n">
        <v>3347.5</v>
      </c>
      <c r="D955" s="14" t="n">
        <v>3368</v>
      </c>
      <c r="E955" s="14" t="n">
        <v>3337.2</v>
      </c>
      <c r="F955" s="14" t="n">
        <v>3358.3</v>
      </c>
      <c r="G955" s="9">
        <f>F955-F954</f>
        <v/>
      </c>
      <c r="H955" s="10">
        <f>IF(F954=0,0,G955/F954)</f>
        <v/>
      </c>
      <c r="I955" s="8">
        <f>D955-E955</f>
        <v/>
      </c>
      <c r="J955" s="4">
        <f>IF(F955&gt;C955,"Up",IF(F955&lt;C955,"Down","Flat"))</f>
        <v/>
      </c>
      <c r="K955" s="14" t="n">
        <v>50.94</v>
      </c>
      <c r="L955" s="15" t="n">
        <v>52.47</v>
      </c>
      <c r="M955" s="14" t="n">
        <v>3347.08</v>
      </c>
      <c r="N955" s="14" t="n">
        <v>3317.98</v>
      </c>
      <c r="O955" s="14" t="n">
        <v>3017.65</v>
      </c>
      <c r="P955" s="4">
        <f>IF(O955="","",IF(F955&gt;O955,"Above","Below"))</f>
        <v/>
      </c>
      <c r="Q955" s="16" t="n">
        <v>115413</v>
      </c>
      <c r="R955" s="17" t="n">
        <v>0</v>
      </c>
      <c r="S955" s="17" t="n">
        <v>0</v>
      </c>
      <c r="T955" s="17" t="n">
        <v>0</v>
      </c>
      <c r="U955" s="18" t="n">
        <v>0</v>
      </c>
    </row>
    <row r="956">
      <c r="A956" s="13" t="n">
        <v>45859</v>
      </c>
      <c r="B956" s="4">
        <f>TEXT(A956,"ddd")</f>
        <v/>
      </c>
      <c r="C956" s="14" t="n">
        <v>3355.6</v>
      </c>
      <c r="D956" s="14" t="n">
        <v>3416.9</v>
      </c>
      <c r="E956" s="14" t="n">
        <v>3351</v>
      </c>
      <c r="F956" s="14" t="n">
        <v>3406.4</v>
      </c>
      <c r="G956" s="9">
        <f>F956-F955</f>
        <v/>
      </c>
      <c r="H956" s="10">
        <f>IF(F955=0,0,G956/F955)</f>
        <v/>
      </c>
      <c r="I956" s="8">
        <f>D956-E956</f>
        <v/>
      </c>
      <c r="J956" s="4">
        <f>IF(F956&gt;C956,"Up",IF(F956&lt;C956,"Down","Flat"))</f>
        <v/>
      </c>
      <c r="K956" s="14" t="n">
        <v>52.01</v>
      </c>
      <c r="L956" s="15" t="n">
        <v>59.53</v>
      </c>
      <c r="M956" s="14" t="n">
        <v>3352.73</v>
      </c>
      <c r="N956" s="14" t="n">
        <v>3321.45</v>
      </c>
      <c r="O956" s="14" t="n">
        <v>3021.52</v>
      </c>
      <c r="P956" s="4">
        <f>IF(O956="","",IF(F956&gt;O956,"Above","Below"))</f>
        <v/>
      </c>
      <c r="Q956" s="16" t="n">
        <v>191195</v>
      </c>
      <c r="R956" s="17" t="n">
        <v>0</v>
      </c>
      <c r="S956" s="17" t="n">
        <v>0</v>
      </c>
      <c r="T956" s="17" t="n">
        <v>0</v>
      </c>
      <c r="U956" s="18" t="n">
        <v>0</v>
      </c>
    </row>
    <row r="957">
      <c r="A957" s="13" t="n">
        <v>45860</v>
      </c>
      <c r="B957" s="4">
        <f>TEXT(A957,"ddd")</f>
        <v/>
      </c>
      <c r="C957" s="14" t="n">
        <v>3410.7</v>
      </c>
      <c r="D957" s="14" t="n">
        <v>3447.5</v>
      </c>
      <c r="E957" s="14" t="n">
        <v>3394.9</v>
      </c>
      <c r="F957" s="14" t="n">
        <v>3443.7</v>
      </c>
      <c r="G957" s="9">
        <f>F957-F956</f>
        <v/>
      </c>
      <c r="H957" s="10">
        <f>IF(F956=0,0,G957/F956)</f>
        <v/>
      </c>
      <c r="I957" s="8">
        <f>D957-E957</f>
        <v/>
      </c>
      <c r="J957" s="4">
        <f>IF(F957&gt;C957,"Up",IF(F957&lt;C957,"Down","Flat"))</f>
        <v/>
      </c>
      <c r="K957" s="14" t="n">
        <v>52.05</v>
      </c>
      <c r="L957" s="15" t="n">
        <v>64</v>
      </c>
      <c r="M957" s="14" t="n">
        <v>3361.39</v>
      </c>
      <c r="N957" s="14" t="n">
        <v>3326.25</v>
      </c>
      <c r="O957" s="14" t="n">
        <v>3025.72</v>
      </c>
      <c r="P957" s="4">
        <f>IF(O957="","",IF(F957&gt;O957,"Above","Below"))</f>
        <v/>
      </c>
      <c r="Q957" s="16" t="n">
        <v>227372</v>
      </c>
      <c r="R957" s="17" t="n">
        <v>0</v>
      </c>
      <c r="S957" s="17" t="n">
        <v>0</v>
      </c>
      <c r="T957" s="17" t="n">
        <v>0</v>
      </c>
      <c r="U957" s="18" t="n">
        <v>0</v>
      </c>
    </row>
    <row r="958">
      <c r="A958" s="13" t="n">
        <v>45861</v>
      </c>
      <c r="B958" s="4">
        <f>TEXT(A958,"ddd")</f>
        <v/>
      </c>
      <c r="C958" s="14" t="n">
        <v>3444.3</v>
      </c>
      <c r="D958" s="14" t="n">
        <v>3451.7</v>
      </c>
      <c r="E958" s="14" t="n">
        <v>3390.6</v>
      </c>
      <c r="F958" s="14" t="n">
        <v>3397.6</v>
      </c>
      <c r="G958" s="9">
        <f>F958-F957</f>
        <v/>
      </c>
      <c r="H958" s="10">
        <f>IF(F957=0,0,G958/F957)</f>
        <v/>
      </c>
      <c r="I958" s="8">
        <f>D958-E958</f>
        <v/>
      </c>
      <c r="J958" s="4">
        <f>IF(F958&gt;C958,"Up",IF(F958&lt;C958,"Down","Flat"))</f>
        <v/>
      </c>
      <c r="K958" s="14" t="n">
        <v>52.7</v>
      </c>
      <c r="L958" s="15" t="n">
        <v>55.8</v>
      </c>
      <c r="M958" s="14" t="n">
        <v>3364.84</v>
      </c>
      <c r="N958" s="14" t="n">
        <v>3329.04</v>
      </c>
      <c r="O958" s="14" t="n">
        <v>3029.42</v>
      </c>
      <c r="P958" s="4">
        <f>IF(O958="","",IF(F958&gt;O958,"Above","Below"))</f>
        <v/>
      </c>
      <c r="Q958" s="16" t="n">
        <v>263025</v>
      </c>
      <c r="R958" s="17" t="n">
        <v>0</v>
      </c>
      <c r="S958" s="17" t="n">
        <v>0</v>
      </c>
      <c r="T958" s="17" t="n">
        <v>0</v>
      </c>
      <c r="U958" s="18" t="n">
        <v>0</v>
      </c>
    </row>
    <row r="959">
      <c r="A959" s="13" t="n">
        <v>45862</v>
      </c>
      <c r="B959" s="4">
        <f>TEXT(A959,"ddd")</f>
        <v/>
      </c>
      <c r="C959" s="14" t="n">
        <v>3398.6</v>
      </c>
      <c r="D959" s="14" t="n">
        <v>3401.1</v>
      </c>
      <c r="E959" s="14" t="n">
        <v>3355.2</v>
      </c>
      <c r="F959" s="14" t="n">
        <v>3373.5</v>
      </c>
      <c r="G959" s="9">
        <f>F959-F958</f>
        <v/>
      </c>
      <c r="H959" s="10">
        <f>IF(F958=0,0,G959/F958)</f>
        <v/>
      </c>
      <c r="I959" s="8">
        <f>D959-E959</f>
        <v/>
      </c>
      <c r="J959" s="4">
        <f>IF(F959&gt;C959,"Up",IF(F959&lt;C959,"Down","Flat"))</f>
        <v/>
      </c>
      <c r="K959" s="14" t="n">
        <v>52.21</v>
      </c>
      <c r="L959" s="15" t="n">
        <v>52.05</v>
      </c>
      <c r="M959" s="14" t="n">
        <v>3365.67</v>
      </c>
      <c r="N959" s="14" t="n">
        <v>3330.79</v>
      </c>
      <c r="O959" s="14" t="n">
        <v>3032.84</v>
      </c>
      <c r="P959" s="4">
        <f>IF(O959="","",IF(F959&gt;O959,"Above","Below"))</f>
        <v/>
      </c>
      <c r="Q959" s="16" t="n">
        <v>215271</v>
      </c>
      <c r="R959" s="17" t="n">
        <v>0</v>
      </c>
      <c r="S959" s="17" t="n">
        <v>0</v>
      </c>
      <c r="T959" s="17" t="n">
        <v>0</v>
      </c>
      <c r="U959" s="18" t="n">
        <v>0</v>
      </c>
    </row>
    <row r="960">
      <c r="A960" s="13" t="n">
        <v>45863</v>
      </c>
      <c r="B960" s="4">
        <f>TEXT(A960,"ddd")</f>
        <v/>
      </c>
      <c r="C960" s="14" t="n">
        <v>3372.1</v>
      </c>
      <c r="D960" s="14" t="n">
        <v>3376.6</v>
      </c>
      <c r="E960" s="14" t="n">
        <v>3325.5</v>
      </c>
      <c r="F960" s="14" t="n">
        <v>3335.6</v>
      </c>
      <c r="G960" s="9">
        <f>F960-F959</f>
        <v/>
      </c>
      <c r="H960" s="10">
        <f>IF(F959=0,0,G960/F959)</f>
        <v/>
      </c>
      <c r="I960" s="8">
        <f>D960-E960</f>
        <v/>
      </c>
      <c r="J960" s="4">
        <f>IF(F960&gt;C960,"Up",IF(F960&lt;C960,"Down","Flat"))</f>
        <v/>
      </c>
      <c r="K960" s="14" t="n">
        <v>52.13</v>
      </c>
      <c r="L960" s="15" t="n">
        <v>46.73</v>
      </c>
      <c r="M960" s="14" t="n">
        <v>3362.8</v>
      </c>
      <c r="N960" s="14" t="n">
        <v>3330.98</v>
      </c>
      <c r="O960" s="14" t="n">
        <v>3035.86</v>
      </c>
      <c r="P960" s="4">
        <f>IF(O960="","",IF(F960&gt;O960,"Above","Below"))</f>
        <v/>
      </c>
      <c r="Q960" s="16" t="n">
        <v>196380</v>
      </c>
      <c r="R960" s="17" t="n">
        <v>0</v>
      </c>
      <c r="S960" s="17" t="n">
        <v>0</v>
      </c>
      <c r="T960" s="17" t="n">
        <v>0</v>
      </c>
      <c r="U960" s="18" t="n">
        <v>0</v>
      </c>
    </row>
    <row r="961">
      <c r="A961" s="13" t="n">
        <v>45866</v>
      </c>
      <c r="B961" s="4">
        <f>TEXT(A961,"ddd")</f>
        <v/>
      </c>
      <c r="C961" s="14" t="n">
        <v>3321.1</v>
      </c>
      <c r="D961" s="14" t="n">
        <v>3345.4</v>
      </c>
      <c r="E961" s="14" t="n">
        <v>3300</v>
      </c>
      <c r="F961" s="14" t="n">
        <v>3310</v>
      </c>
      <c r="G961" s="9">
        <f>F961-F960</f>
        <v/>
      </c>
      <c r="H961" s="10">
        <f>IF(F960=0,0,G961/F960)</f>
        <v/>
      </c>
      <c r="I961" s="8">
        <f>D961-E961</f>
        <v/>
      </c>
      <c r="J961" s="4">
        <f>IF(F961&gt;C961,"Up",IF(F961&lt;C961,"Down","Flat"))</f>
        <v/>
      </c>
      <c r="K961" s="14" t="n">
        <v>51.65</v>
      </c>
      <c r="L961" s="15" t="n">
        <v>43.49</v>
      </c>
      <c r="M961" s="14" t="n">
        <v>3357.77</v>
      </c>
      <c r="N961" s="14" t="n">
        <v>3330.15</v>
      </c>
      <c r="O961" s="14" t="n">
        <v>3038.58</v>
      </c>
      <c r="P961" s="4">
        <f>IF(O961="","",IF(F961&gt;O961,"Above","Below"))</f>
        <v/>
      </c>
      <c r="Q961" s="16" t="n">
        <v>180215</v>
      </c>
      <c r="R961" s="17" t="n">
        <v>0</v>
      </c>
      <c r="S961" s="17" t="n">
        <v>0</v>
      </c>
      <c r="T961" s="17" t="n">
        <v>0</v>
      </c>
      <c r="U961" s="18" t="n">
        <v>0</v>
      </c>
    </row>
    <row r="962">
      <c r="A962" s="13" t="n">
        <v>45867</v>
      </c>
      <c r="B962" s="4">
        <f>TEXT(A962,"ddd")</f>
        <v/>
      </c>
      <c r="C962" s="14" t="n">
        <v>3313.4</v>
      </c>
      <c r="D962" s="14" t="n">
        <v>3332.3</v>
      </c>
      <c r="E962" s="14" t="n">
        <v>3305.8</v>
      </c>
      <c r="F962" s="14" t="n">
        <v>3324</v>
      </c>
      <c r="G962" s="9">
        <f>F962-F961</f>
        <v/>
      </c>
      <c r="H962" s="10">
        <f>IF(F961=0,0,G962/F961)</f>
        <v/>
      </c>
      <c r="I962" s="8">
        <f>D962-E962</f>
        <v/>
      </c>
      <c r="J962" s="4">
        <f>IF(F962&gt;C962,"Up",IF(F962&lt;C962,"Down","Flat"))</f>
        <v/>
      </c>
      <c r="K962" s="14" t="n">
        <v>49.85</v>
      </c>
      <c r="L962" s="15" t="n">
        <v>45.71</v>
      </c>
      <c r="M962" s="14" t="n">
        <v>3354.56</v>
      </c>
      <c r="N962" s="14" t="n">
        <v>3329.91</v>
      </c>
      <c r="O962" s="14" t="n">
        <v>3041.42</v>
      </c>
      <c r="P962" s="4">
        <f>IF(O962="","",IF(F962&gt;O962,"Above","Below"))</f>
        <v/>
      </c>
      <c r="Q962" s="16" t="n">
        <v>113144</v>
      </c>
      <c r="R962" s="17" t="n">
        <v>0</v>
      </c>
      <c r="S962" s="17" t="n">
        <v>0</v>
      </c>
      <c r="T962" s="17" t="n">
        <v>0</v>
      </c>
      <c r="U962" s="18" t="n">
        <v>0</v>
      </c>
    </row>
    <row r="963">
      <c r="A963" s="13" t="n">
        <v>45868</v>
      </c>
      <c r="B963" s="4">
        <f>TEXT(A963,"ddd")</f>
        <v/>
      </c>
      <c r="C963" s="14" t="n">
        <v>3325.8</v>
      </c>
      <c r="D963" s="14" t="n">
        <v>3331.8</v>
      </c>
      <c r="E963" s="14" t="n">
        <v>3263.9</v>
      </c>
      <c r="F963" s="14" t="n">
        <v>3295.8</v>
      </c>
      <c r="G963" s="9">
        <f>F963-F962</f>
        <v/>
      </c>
      <c r="H963" s="10">
        <f>IF(F962=0,0,G963/F962)</f>
        <v/>
      </c>
      <c r="I963" s="8">
        <f>D963-E963</f>
        <v/>
      </c>
      <c r="J963" s="4">
        <f>IF(F963&gt;C963,"Up",IF(F963&lt;C963,"Down","Flat"))</f>
        <v/>
      </c>
      <c r="K963" s="14" t="n">
        <v>51.14</v>
      </c>
      <c r="L963" s="15" t="n">
        <v>42.13</v>
      </c>
      <c r="M963" s="14" t="n">
        <v>3348.96</v>
      </c>
      <c r="N963" s="14" t="n">
        <v>3328.57</v>
      </c>
      <c r="O963" s="14" t="n">
        <v>3043.95</v>
      </c>
      <c r="P963" s="4">
        <f>IF(O963="","",IF(F963&gt;O963,"Above","Below"))</f>
        <v/>
      </c>
      <c r="Q963" s="16" t="n">
        <v>19252</v>
      </c>
      <c r="R963" s="17" t="n">
        <v>0</v>
      </c>
      <c r="S963" s="17" t="n">
        <v>0</v>
      </c>
      <c r="T963" s="17" t="n">
        <v>0</v>
      </c>
      <c r="U963" s="18" t="n">
        <v>0</v>
      </c>
    </row>
    <row r="964">
      <c r="A964" s="13" t="n">
        <v>45869</v>
      </c>
      <c r="B964" s="4">
        <f>TEXT(A964,"ddd")</f>
        <v/>
      </c>
      <c r="C964" s="14" t="n">
        <v>3272.9</v>
      </c>
      <c r="D964" s="14" t="n">
        <v>3312</v>
      </c>
      <c r="E964" s="14" t="n">
        <v>3272.9</v>
      </c>
      <c r="F964" s="14" t="n">
        <v>3293.2</v>
      </c>
      <c r="G964" s="9">
        <f>F964-F963</f>
        <v/>
      </c>
      <c r="H964" s="10">
        <f>IF(F963=0,0,G964/F963)</f>
        <v/>
      </c>
      <c r="I964" s="8">
        <f>D964-E964</f>
        <v/>
      </c>
      <c r="J964" s="4">
        <f>IF(F964&gt;C964,"Up",IF(F964&lt;C964,"Down","Flat"))</f>
        <v/>
      </c>
      <c r="K964" s="14" t="n">
        <v>50.28</v>
      </c>
      <c r="L964" s="15" t="n">
        <v>41.8</v>
      </c>
      <c r="M964" s="14" t="n">
        <v>3343.65</v>
      </c>
      <c r="N964" s="14" t="n">
        <v>3327.19</v>
      </c>
      <c r="O964" s="14" t="n">
        <v>3046.43</v>
      </c>
      <c r="P964" s="4">
        <f>IF(O964="","",IF(F964&gt;O964,"Above","Below"))</f>
        <v/>
      </c>
      <c r="Q964" s="16" t="n">
        <v>158029</v>
      </c>
      <c r="R964" s="17" t="n">
        <v>0</v>
      </c>
      <c r="S964" s="17" t="n">
        <v>0</v>
      </c>
      <c r="T964" s="17" t="n">
        <v>0</v>
      </c>
      <c r="U964" s="18" t="n">
        <v>0</v>
      </c>
    </row>
    <row r="965">
      <c r="A965" s="13" t="n">
        <v>45870</v>
      </c>
      <c r="B965" s="4">
        <f>TEXT(A965,"ddd")</f>
        <v/>
      </c>
      <c r="C965" s="14" t="n">
        <v>3342.7</v>
      </c>
      <c r="D965" s="14" t="n">
        <v>3416.9</v>
      </c>
      <c r="E965" s="14" t="n">
        <v>3331.4</v>
      </c>
      <c r="F965" s="14" t="n">
        <v>3399.8</v>
      </c>
      <c r="G965" s="9">
        <f>F965-F964</f>
        <v/>
      </c>
      <c r="H965" s="10">
        <f>IF(F964=0,0,G965/F964)</f>
        <v/>
      </c>
      <c r="I965" s="8">
        <f>D965-E965</f>
        <v/>
      </c>
      <c r="J965" s="4">
        <f>IF(F965&gt;C965,"Up",IF(F965&lt;C965,"Down","Flat"))</f>
        <v/>
      </c>
      <c r="K965" s="14" t="n">
        <v>55.53</v>
      </c>
      <c r="L965" s="15" t="n">
        <v>56.59</v>
      </c>
      <c r="M965" s="14" t="n">
        <v>3349</v>
      </c>
      <c r="N965" s="14" t="n">
        <v>3330.04</v>
      </c>
      <c r="O965" s="14" t="n">
        <v>3049.95</v>
      </c>
      <c r="P965" s="4">
        <f>IF(O965="","",IF(F965&gt;O965,"Above","Below"))</f>
        <v/>
      </c>
      <c r="Q965" s="16" t="n">
        <v>229954</v>
      </c>
      <c r="R965" s="17" t="n">
        <v>0</v>
      </c>
      <c r="S965" s="17" t="n">
        <v>0</v>
      </c>
      <c r="T965" s="17" t="n">
        <v>0</v>
      </c>
      <c r="U965" s="18" t="n">
        <v>0</v>
      </c>
    </row>
    <row r="966">
      <c r="A966" s="13" t="n">
        <v>45873</v>
      </c>
      <c r="B966" s="4">
        <f>TEXT(A966,"ddd")</f>
        <v/>
      </c>
      <c r="C966" s="14" t="n">
        <v>3416.6</v>
      </c>
      <c r="D966" s="14" t="n">
        <v>3439.5</v>
      </c>
      <c r="E966" s="14" t="n">
        <v>3397.9</v>
      </c>
      <c r="F966" s="14" t="n">
        <v>3426.4</v>
      </c>
      <c r="G966" s="9">
        <f>F966-F965</f>
        <v/>
      </c>
      <c r="H966" s="10">
        <f>IF(F965=0,0,G966/F965)</f>
        <v/>
      </c>
      <c r="I966" s="8">
        <f>D966-E966</f>
        <v/>
      </c>
      <c r="J966" s="4">
        <f>IF(F966&gt;C966,"Up",IF(F966&lt;C966,"Down","Flat"))</f>
        <v/>
      </c>
      <c r="K966" s="14" t="n">
        <v>54.53</v>
      </c>
      <c r="L966" s="15" t="n">
        <v>59.37</v>
      </c>
      <c r="M966" s="14" t="n">
        <v>3356.37</v>
      </c>
      <c r="N966" s="14" t="n">
        <v>3333.81</v>
      </c>
      <c r="O966" s="14" t="n">
        <v>3053.7</v>
      </c>
      <c r="P966" s="4">
        <f>IF(O966="","",IF(F966&gt;O966,"Above","Below"))</f>
        <v/>
      </c>
      <c r="Q966" s="16" t="n">
        <v>138229</v>
      </c>
      <c r="R966" s="17" t="n">
        <v>0</v>
      </c>
      <c r="S966" s="17" t="n">
        <v>0</v>
      </c>
      <c r="T966" s="17" t="n">
        <v>0</v>
      </c>
      <c r="U966" s="18" t="n">
        <v>0</v>
      </c>
    </row>
    <row r="967">
      <c r="A967" s="13" t="n">
        <v>45874</v>
      </c>
      <c r="B967" s="4">
        <f>TEXT(A967,"ddd")</f>
        <v/>
      </c>
      <c r="C967" s="14" t="n">
        <v>3428.9</v>
      </c>
      <c r="D967" s="14" t="n">
        <v>3444.9</v>
      </c>
      <c r="E967" s="14" t="n">
        <v>3403.3</v>
      </c>
      <c r="F967" s="14" t="n">
        <v>3434.7</v>
      </c>
      <c r="G967" s="9">
        <f>F967-F966</f>
        <v/>
      </c>
      <c r="H967" s="10">
        <f>IF(F966=0,0,G967/F966)</f>
        <v/>
      </c>
      <c r="I967" s="8">
        <f>D967-E967</f>
        <v/>
      </c>
      <c r="J967" s="4">
        <f>IF(F967&gt;C967,"Up",IF(F967&lt;C967,"Down","Flat"))</f>
        <v/>
      </c>
      <c r="K967" s="14" t="n">
        <v>53.61</v>
      </c>
      <c r="L967" s="15" t="n">
        <v>60.22</v>
      </c>
      <c r="M967" s="14" t="n">
        <v>3363.83</v>
      </c>
      <c r="N967" s="14" t="n">
        <v>3337.77</v>
      </c>
      <c r="O967" s="14" t="n">
        <v>3057.49</v>
      </c>
      <c r="P967" s="4">
        <f>IF(O967="","",IF(F967&gt;O967,"Above","Below"))</f>
        <v/>
      </c>
      <c r="Q967" s="16" t="n">
        <v>154163</v>
      </c>
      <c r="R967" s="17" t="n">
        <v>0</v>
      </c>
      <c r="S967" s="17" t="n">
        <v>0</v>
      </c>
      <c r="T967" s="17" t="n">
        <v>0</v>
      </c>
      <c r="U967" s="18" t="n">
        <v>0</v>
      </c>
    </row>
    <row r="968">
      <c r="A968" s="13" t="n">
        <v>45875</v>
      </c>
      <c r="B968" s="4">
        <f>TEXT(A968,"ddd")</f>
        <v/>
      </c>
      <c r="C968" s="14" t="n">
        <v>3434.9</v>
      </c>
      <c r="D968" s="14" t="n">
        <v>3440.5</v>
      </c>
      <c r="E968" s="14" t="n">
        <v>3411.7</v>
      </c>
      <c r="F968" s="14" t="n">
        <v>3433.4</v>
      </c>
      <c r="G968" s="9">
        <f>F968-F967</f>
        <v/>
      </c>
      <c r="H968" s="10">
        <f>IF(F967=0,0,G968/F967)</f>
        <v/>
      </c>
      <c r="I968" s="8">
        <f>D968-E968</f>
        <v/>
      </c>
      <c r="J968" s="4">
        <f>IF(F968&gt;C968,"Up",IF(F968&lt;C968,"Down","Flat"))</f>
        <v/>
      </c>
      <c r="K968" s="14" t="n">
        <v>51.84</v>
      </c>
      <c r="L968" s="15" t="n">
        <v>60.01</v>
      </c>
      <c r="M968" s="14" t="n">
        <v>3370.46</v>
      </c>
      <c r="N968" s="14" t="n">
        <v>3341.52</v>
      </c>
      <c r="O968" s="14" t="n">
        <v>3061.23</v>
      </c>
      <c r="P968" s="4">
        <f>IF(O968="","",IF(F968&gt;O968,"Above","Below"))</f>
        <v/>
      </c>
      <c r="Q968" s="16" t="n">
        <v>151580</v>
      </c>
      <c r="R968" s="17" t="n">
        <v>0</v>
      </c>
      <c r="S968" s="17" t="n">
        <v>0</v>
      </c>
      <c r="T968" s="17" t="n">
        <v>0</v>
      </c>
      <c r="U968" s="18" t="n">
        <v>0</v>
      </c>
    </row>
    <row r="969">
      <c r="A969" s="13" t="n">
        <v>45876</v>
      </c>
      <c r="B969" s="4">
        <f>TEXT(A969,"ddd")</f>
        <v/>
      </c>
      <c r="C969" s="14" t="n">
        <v>3431.8</v>
      </c>
      <c r="D969" s="14" t="n">
        <v>3483.8</v>
      </c>
      <c r="E969" s="14" t="n">
        <v>3430</v>
      </c>
      <c r="F969" s="14" t="n">
        <v>3453.7</v>
      </c>
      <c r="G969" s="9">
        <f>F969-F968</f>
        <v/>
      </c>
      <c r="H969" s="10">
        <f>IF(F968=0,0,G969/F968)</f>
        <v/>
      </c>
      <c r="I969" s="8">
        <f>D969-E969</f>
        <v/>
      </c>
      <c r="J969" s="4">
        <f>IF(F969&gt;C969,"Up",IF(F969&lt;C969,"Down","Flat"))</f>
        <v/>
      </c>
      <c r="K969" s="14" t="n">
        <v>51.98</v>
      </c>
      <c r="L969" s="15" t="n">
        <v>62.25</v>
      </c>
      <c r="M969" s="14" t="n">
        <v>3378.38</v>
      </c>
      <c r="N969" s="14" t="n">
        <v>3345.92</v>
      </c>
      <c r="O969" s="14" t="n">
        <v>3065.13</v>
      </c>
      <c r="P969" s="4">
        <f>IF(O969="","",IF(F969&gt;O969,"Above","Below"))</f>
        <v/>
      </c>
      <c r="Q969" s="16" t="n">
        <v>249091</v>
      </c>
      <c r="R969" s="17" t="n">
        <v>0</v>
      </c>
      <c r="S969" s="17" t="n">
        <v>0</v>
      </c>
      <c r="T969" s="17" t="n">
        <v>0</v>
      </c>
      <c r="U969" s="18" t="n">
        <v>0</v>
      </c>
    </row>
    <row r="970">
      <c r="A970" s="13" t="n">
        <v>45877</v>
      </c>
      <c r="B970" s="4">
        <f>TEXT(A970,"ddd")</f>
        <v/>
      </c>
      <c r="C970" s="14" t="n">
        <v>3487.9</v>
      </c>
      <c r="D970" s="14" t="n">
        <v>3534.1</v>
      </c>
      <c r="E970" s="14" t="n">
        <v>3445</v>
      </c>
      <c r="F970" s="14" t="n">
        <v>3491.3</v>
      </c>
      <c r="G970" s="9">
        <f>F970-F969</f>
        <v/>
      </c>
      <c r="H970" s="10">
        <f>IF(F969=0,0,G970/F969)</f>
        <v/>
      </c>
      <c r="I970" s="8">
        <f>D970-E970</f>
        <v/>
      </c>
      <c r="J970" s="4">
        <f>IF(F970&gt;C970,"Up",IF(F970&lt;C970,"Down","Flat"))</f>
        <v/>
      </c>
      <c r="K970" s="14" t="n">
        <v>54.63</v>
      </c>
      <c r="L970" s="15" t="n">
        <v>66.05</v>
      </c>
      <c r="M970" s="14" t="n">
        <v>3389.14</v>
      </c>
      <c r="N970" s="14" t="n">
        <v>3351.62</v>
      </c>
      <c r="O970" s="14" t="n">
        <v>3069.37</v>
      </c>
      <c r="P970" s="4">
        <f>IF(O970="","",IF(F970&gt;O970,"Above","Below"))</f>
        <v/>
      </c>
      <c r="Q970" s="16" t="n">
        <v>321346</v>
      </c>
      <c r="R970" s="17" t="n">
        <v>0</v>
      </c>
      <c r="S970" s="17" t="n">
        <v>0</v>
      </c>
      <c r="T970" s="17" t="n">
        <v>0</v>
      </c>
      <c r="U970" s="18" t="n">
        <v>0</v>
      </c>
    </row>
    <row r="971">
      <c r="A971" s="13" t="n">
        <v>45880</v>
      </c>
      <c r="B971" s="4">
        <f>TEXT(A971,"ddd")</f>
        <v/>
      </c>
      <c r="C971" s="14" t="n">
        <v>3458.1</v>
      </c>
      <c r="D971" s="14" t="n">
        <v>3466.3</v>
      </c>
      <c r="E971" s="14" t="n">
        <v>3393</v>
      </c>
      <c r="F971" s="14" t="n">
        <v>3404.7</v>
      </c>
      <c r="G971" s="9">
        <f>F971-F970</f>
        <v/>
      </c>
      <c r="H971" s="10">
        <f>IF(F970=0,0,G971/F970)</f>
        <v/>
      </c>
      <c r="I971" s="8">
        <f>D971-E971</f>
        <v/>
      </c>
      <c r="J971" s="4">
        <f>IF(F971&gt;C971,"Up",IF(F971&lt;C971,"Down","Flat"))</f>
        <v/>
      </c>
      <c r="K971" s="14" t="n">
        <v>57.75</v>
      </c>
      <c r="L971" s="15" t="n">
        <v>52.86</v>
      </c>
      <c r="M971" s="14" t="n">
        <v>3390.62</v>
      </c>
      <c r="N971" s="14" t="n">
        <v>3353.7</v>
      </c>
      <c r="O971" s="14" t="n">
        <v>3072.71</v>
      </c>
      <c r="P971" s="4">
        <f>IF(O971="","",IF(F971&gt;O971,"Above","Below"))</f>
        <v/>
      </c>
      <c r="Q971" s="16" t="n">
        <v>224513</v>
      </c>
      <c r="R971" s="17" t="n">
        <v>0</v>
      </c>
      <c r="S971" s="17" t="n">
        <v>0</v>
      </c>
      <c r="T971" s="17" t="n">
        <v>0</v>
      </c>
      <c r="U971" s="18" t="n">
        <v>0</v>
      </c>
    </row>
    <row r="972">
      <c r="A972" s="13" t="n">
        <v>45881</v>
      </c>
      <c r="B972" s="4">
        <f>TEXT(A972,"ddd")</f>
        <v/>
      </c>
      <c r="C972" s="14" t="n">
        <v>3393.6</v>
      </c>
      <c r="D972" s="14" t="n">
        <v>3410.8</v>
      </c>
      <c r="E972" s="14" t="n">
        <v>3379.1</v>
      </c>
      <c r="F972" s="14" t="n">
        <v>3399</v>
      </c>
      <c r="G972" s="9">
        <f>F972-F971</f>
        <v/>
      </c>
      <c r="H972" s="10">
        <f>IF(F971=0,0,G972/F971)</f>
        <v/>
      </c>
      <c r="I972" s="8">
        <f>D972-E972</f>
        <v/>
      </c>
      <c r="J972" s="4">
        <f>IF(F972&gt;C972,"Up",IF(F972&lt;C972,"Down","Flat"))</f>
        <v/>
      </c>
      <c r="K972" s="14" t="n">
        <v>55.89</v>
      </c>
      <c r="L972" s="15" t="n">
        <v>52.12</v>
      </c>
      <c r="M972" s="14" t="n">
        <v>3391.42</v>
      </c>
      <c r="N972" s="14" t="n">
        <v>3355.48</v>
      </c>
      <c r="O972" s="14" t="n">
        <v>3075.96</v>
      </c>
      <c r="P972" s="4">
        <f>IF(O972="","",IF(F972&gt;O972,"Above","Below"))</f>
        <v/>
      </c>
      <c r="Q972" s="16" t="n">
        <v>193820</v>
      </c>
      <c r="R972" s="17" t="n">
        <v>0</v>
      </c>
      <c r="S972" s="17" t="n">
        <v>0</v>
      </c>
      <c r="T972" s="17" t="n">
        <v>0</v>
      </c>
      <c r="U972" s="18" t="n">
        <v>0</v>
      </c>
    </row>
    <row r="973">
      <c r="A973" s="13" t="n">
        <v>45882</v>
      </c>
      <c r="B973" s="4">
        <f>TEXT(A973,"ddd")</f>
        <v/>
      </c>
      <c r="C973" s="14" t="n">
        <v>3399.6</v>
      </c>
      <c r="D973" s="14" t="n">
        <v>3422.6</v>
      </c>
      <c r="E973" s="14" t="n">
        <v>3392.7</v>
      </c>
      <c r="F973" s="14" t="n">
        <v>3408.3</v>
      </c>
      <c r="G973" s="9">
        <f>F973-F972</f>
        <v/>
      </c>
      <c r="H973" s="10">
        <f>IF(F972=0,0,G973/F972)</f>
        <v/>
      </c>
      <c r="I973" s="8">
        <f>D973-E973</f>
        <v/>
      </c>
      <c r="J973" s="4">
        <f>IF(F973&gt;C973,"Up",IF(F973&lt;C973,"Down","Flat"))</f>
        <v/>
      </c>
      <c r="K973" s="14" t="n">
        <v>54.03</v>
      </c>
      <c r="L973" s="15" t="n">
        <v>53.26</v>
      </c>
      <c r="M973" s="14" t="n">
        <v>3393.03</v>
      </c>
      <c r="N973" s="14" t="n">
        <v>3357.55</v>
      </c>
      <c r="O973" s="14" t="n">
        <v>3079.26</v>
      </c>
      <c r="P973" s="4">
        <f>IF(O973="","",IF(F973&gt;O973,"Above","Below"))</f>
        <v/>
      </c>
      <c r="Q973" s="16" t="n">
        <v>135846</v>
      </c>
      <c r="R973" s="17" t="n">
        <v>0</v>
      </c>
      <c r="S973" s="17" t="n">
        <v>0</v>
      </c>
      <c r="T973" s="17" t="n">
        <v>0</v>
      </c>
      <c r="U973" s="18" t="n">
        <v>0</v>
      </c>
    </row>
    <row r="974">
      <c r="A974" s="13" t="n">
        <v>45883</v>
      </c>
      <c r="B974" s="4">
        <f>TEXT(A974,"ddd")</f>
        <v/>
      </c>
      <c r="C974" s="14" t="n">
        <v>3407.2</v>
      </c>
      <c r="D974" s="14" t="n">
        <v>3423.8</v>
      </c>
      <c r="E974" s="14" t="n">
        <v>3375.5</v>
      </c>
      <c r="F974" s="14" t="n">
        <v>3383.2</v>
      </c>
      <c r="G974" s="9">
        <f>F974-F973</f>
        <v/>
      </c>
      <c r="H974" s="10">
        <f>IF(F973=0,0,G974/F973)</f>
        <v/>
      </c>
      <c r="I974" s="8">
        <f>D974-E974</f>
        <v/>
      </c>
      <c r="J974" s="4">
        <f>IF(F974&gt;C974,"Up",IF(F974&lt;C974,"Down","Flat"))</f>
        <v/>
      </c>
      <c r="K974" s="14" t="n">
        <v>53.62</v>
      </c>
      <c r="L974" s="15" t="n">
        <v>49.8</v>
      </c>
      <c r="M974" s="14" t="n">
        <v>3392.09</v>
      </c>
      <c r="N974" s="14" t="n">
        <v>3358.56</v>
      </c>
      <c r="O974" s="14" t="n">
        <v>3082.29</v>
      </c>
      <c r="P974" s="4">
        <f>IF(O974="","",IF(F974&gt;O974,"Above","Below"))</f>
        <v/>
      </c>
      <c r="Q974" s="16" t="n">
        <v>165697</v>
      </c>
      <c r="R974" s="17" t="n">
        <v>0</v>
      </c>
      <c r="S974" s="17" t="n">
        <v>0</v>
      </c>
      <c r="T974" s="17" t="n">
        <v>0</v>
      </c>
      <c r="U974" s="18" t="n">
        <v>0</v>
      </c>
    </row>
    <row r="975">
      <c r="A975" s="13" t="n">
        <v>45884</v>
      </c>
      <c r="B975" s="4">
        <f>TEXT(A975,"ddd")</f>
        <v/>
      </c>
      <c r="C975" s="14" t="n">
        <v>3383.2</v>
      </c>
      <c r="D975" s="14" t="n">
        <v>3394.8</v>
      </c>
      <c r="E975" s="14" t="n">
        <v>3377.7</v>
      </c>
      <c r="F975" s="14" t="n">
        <v>3382.6</v>
      </c>
      <c r="G975" s="9">
        <f>F975-F974</f>
        <v/>
      </c>
      <c r="H975" s="10">
        <f>IF(F974=0,0,G975/F974)</f>
        <v/>
      </c>
      <c r="I975" s="8">
        <f>D975-E975</f>
        <v/>
      </c>
      <c r="J975" s="4">
        <f>IF(F975&gt;C975,"Up",IF(F975&lt;C975,"Down","Flat"))</f>
        <v/>
      </c>
      <c r="K975" s="14" t="n">
        <v>51.01</v>
      </c>
      <c r="L975" s="15" t="n">
        <v>49.71</v>
      </c>
      <c r="M975" s="14" t="n">
        <v>3391.19</v>
      </c>
      <c r="N975" s="14" t="n">
        <v>3359.5</v>
      </c>
      <c r="O975" s="14" t="n">
        <v>3085.28</v>
      </c>
      <c r="P975" s="4">
        <f>IF(O975="","",IF(F975&gt;O975,"Above","Below"))</f>
        <v/>
      </c>
      <c r="Q975" s="16" t="n">
        <v>118486</v>
      </c>
      <c r="R975" s="17" t="n">
        <v>0</v>
      </c>
      <c r="S975" s="17" t="n">
        <v>0</v>
      </c>
      <c r="T975" s="17" t="n">
        <v>0</v>
      </c>
      <c r="U975" s="18" t="n">
        <v>0</v>
      </c>
    </row>
    <row r="976">
      <c r="A976" s="13" t="n">
        <v>45887</v>
      </c>
      <c r="B976" s="4">
        <f>TEXT(A976,"ddd")</f>
        <v/>
      </c>
      <c r="C976" s="14" t="n">
        <v>3382.4</v>
      </c>
      <c r="D976" s="14" t="n">
        <v>3403.6</v>
      </c>
      <c r="E976" s="14" t="n">
        <v>3368</v>
      </c>
      <c r="F976" s="14" t="n">
        <v>3378</v>
      </c>
      <c r="G976" s="9">
        <f>F976-F975</f>
        <v/>
      </c>
      <c r="H976" s="10">
        <f>IF(F975=0,0,G976/F975)</f>
        <v/>
      </c>
      <c r="I976" s="8">
        <f>D976-E976</f>
        <v/>
      </c>
      <c r="J976" s="4">
        <f>IF(F976&gt;C976,"Up",IF(F976&lt;C976,"Down","Flat"))</f>
        <v/>
      </c>
      <c r="K976" s="14" t="n">
        <v>49.91</v>
      </c>
      <c r="L976" s="15" t="n">
        <v>49.04</v>
      </c>
      <c r="M976" s="14" t="n">
        <v>3389.93</v>
      </c>
      <c r="N976" s="14" t="n">
        <v>3360.22</v>
      </c>
      <c r="O976" s="14" t="n">
        <v>3088.19</v>
      </c>
      <c r="P976" s="4">
        <f>IF(O976="","",IF(F976&gt;O976,"Above","Below"))</f>
        <v/>
      </c>
      <c r="Q976" s="16" t="n">
        <v>119141</v>
      </c>
      <c r="R976" s="17" t="n">
        <v>0</v>
      </c>
      <c r="S976" s="17" t="n">
        <v>0</v>
      </c>
      <c r="T976" s="17" t="n">
        <v>0</v>
      </c>
      <c r="U976" s="18" t="n">
        <v>0</v>
      </c>
    </row>
    <row r="977">
      <c r="A977" s="13" t="n">
        <v>45888</v>
      </c>
      <c r="B977" s="4">
        <f>TEXT(A977,"ddd")</f>
        <v/>
      </c>
      <c r="C977" s="14" t="n">
        <v>3378.3</v>
      </c>
      <c r="D977" s="14" t="n">
        <v>3389.7</v>
      </c>
      <c r="E977" s="14" t="n">
        <v>3358.1</v>
      </c>
      <c r="F977" s="14" t="n">
        <v>3358.7</v>
      </c>
      <c r="G977" s="9">
        <f>F977-F976</f>
        <v/>
      </c>
      <c r="H977" s="10">
        <f>IF(F976=0,0,G977/F976)</f>
        <v/>
      </c>
      <c r="I977" s="8">
        <f>D977-E977</f>
        <v/>
      </c>
      <c r="J977" s="4">
        <f>IF(F977&gt;C977,"Up",IF(F977&lt;C977,"Down","Flat"))</f>
        <v/>
      </c>
      <c r="K977" s="14" t="n">
        <v>48.6</v>
      </c>
      <c r="L977" s="15" t="n">
        <v>46.19</v>
      </c>
      <c r="M977" s="14" t="n">
        <v>3386.96</v>
      </c>
      <c r="N977" s="14" t="n">
        <v>3360.16</v>
      </c>
      <c r="O977" s="14" t="n">
        <v>3090.88</v>
      </c>
      <c r="P977" s="4">
        <f>IF(O977="","",IF(F977&gt;O977,"Above","Below"))</f>
        <v/>
      </c>
      <c r="Q977" s="16" t="n">
        <v>133497</v>
      </c>
      <c r="R977" s="17" t="n">
        <v>0</v>
      </c>
      <c r="S977" s="17" t="n">
        <v>0</v>
      </c>
      <c r="T977" s="17" t="n">
        <v>0</v>
      </c>
      <c r="U977" s="18" t="n">
        <v>0</v>
      </c>
    </row>
    <row r="978">
      <c r="A978" s="13" t="n">
        <v>45889</v>
      </c>
      <c r="B978" s="4">
        <f>TEXT(A978,"ddd")</f>
        <v/>
      </c>
      <c r="C978" s="14" t="n">
        <v>3359</v>
      </c>
      <c r="D978" s="14" t="n">
        <v>3394.3</v>
      </c>
      <c r="E978" s="14" t="n">
        <v>3353.4</v>
      </c>
      <c r="F978" s="14" t="n">
        <v>3388.5</v>
      </c>
      <c r="G978" s="9">
        <f>F978-F977</f>
        <v/>
      </c>
      <c r="H978" s="10">
        <f>IF(F977=0,0,G978/F977)</f>
        <v/>
      </c>
      <c r="I978" s="8">
        <f>D978-E978</f>
        <v/>
      </c>
      <c r="J978" s="4">
        <f>IF(F978&gt;C978,"Up",IF(F978&lt;C978,"Down","Flat"))</f>
        <v/>
      </c>
      <c r="K978" s="14" t="n">
        <v>48.05</v>
      </c>
      <c r="L978" s="15" t="n">
        <v>50.93</v>
      </c>
      <c r="M978" s="14" t="n">
        <v>3387.1</v>
      </c>
      <c r="N978" s="14" t="n">
        <v>3361.28</v>
      </c>
      <c r="O978" s="14" t="n">
        <v>3093.84</v>
      </c>
      <c r="P978" s="4">
        <f>IF(O978="","",IF(F978&gt;O978,"Above","Below"))</f>
        <v/>
      </c>
      <c r="Q978" s="16" t="n">
        <v>135521</v>
      </c>
      <c r="R978" s="17" t="n">
        <v>0</v>
      </c>
      <c r="S978" s="17" t="n">
        <v>0</v>
      </c>
      <c r="T978" s="17" t="n">
        <v>0</v>
      </c>
      <c r="U978" s="18" t="n">
        <v>0</v>
      </c>
    </row>
    <row r="979">
      <c r="A979" s="13" t="n">
        <v>45890</v>
      </c>
      <c r="B979" s="4">
        <f>TEXT(A979,"ddd")</f>
        <v/>
      </c>
      <c r="C979" s="14" t="n">
        <v>3392.2</v>
      </c>
      <c r="D979" s="14" t="n">
        <v>3394.4</v>
      </c>
      <c r="E979" s="14" t="n">
        <v>3367.4</v>
      </c>
      <c r="F979" s="14" t="n">
        <v>3381.6</v>
      </c>
      <c r="G979" s="9">
        <f>F979-F978</f>
        <v/>
      </c>
      <c r="H979" s="10">
        <f>IF(F978=0,0,G979/F978)</f>
        <v/>
      </c>
      <c r="I979" s="8">
        <f>D979-E979</f>
        <v/>
      </c>
      <c r="J979" s="4">
        <f>IF(F979&gt;C979,"Up",IF(F979&lt;C979,"Down","Flat"))</f>
        <v/>
      </c>
      <c r="K979" s="14" t="n">
        <v>46.55</v>
      </c>
      <c r="L979" s="15" t="n">
        <v>49.83</v>
      </c>
      <c r="M979" s="14" t="n">
        <v>3386.58</v>
      </c>
      <c r="N979" s="14" t="n">
        <v>3362.07</v>
      </c>
      <c r="O979" s="14" t="n">
        <v>3096.7</v>
      </c>
      <c r="P979" s="4">
        <f>IF(O979="","",IF(F979&gt;O979,"Above","Below"))</f>
        <v/>
      </c>
      <c r="Q979" s="16" t="n">
        <v>123500</v>
      </c>
      <c r="R979" s="17" t="n">
        <v>0</v>
      </c>
      <c r="S979" s="17" t="n">
        <v>0</v>
      </c>
      <c r="T979" s="17" t="n">
        <v>0</v>
      </c>
      <c r="U979" s="18" t="n">
        <v>0</v>
      </c>
    </row>
    <row r="980">
      <c r="A980" s="13" t="n">
        <v>45891</v>
      </c>
      <c r="B980" s="4">
        <f>TEXT(A980,"ddd")</f>
        <v/>
      </c>
      <c r="C980" s="14" t="n">
        <v>3383.3</v>
      </c>
      <c r="D980" s="14" t="n">
        <v>3423.4</v>
      </c>
      <c r="E980" s="14" t="n">
        <v>3362.8</v>
      </c>
      <c r="F980" s="14" t="n">
        <v>3418.5</v>
      </c>
      <c r="G980" s="9">
        <f>F980-F979</f>
        <v/>
      </c>
      <c r="H980" s="10">
        <f>IF(F979=0,0,G980/F979)</f>
        <v/>
      </c>
      <c r="I980" s="8">
        <f>D980-E980</f>
        <v/>
      </c>
      <c r="J980" s="4">
        <f>IF(F980&gt;C980,"Up",IF(F980&lt;C980,"Down","Flat"))</f>
        <v/>
      </c>
      <c r="K980" s="14" t="n">
        <v>47.55</v>
      </c>
      <c r="L980" s="15" t="n">
        <v>55.35</v>
      </c>
      <c r="M980" s="14" t="n">
        <v>3389.62</v>
      </c>
      <c r="N980" s="14" t="n">
        <v>3364.29</v>
      </c>
      <c r="O980" s="14" t="n">
        <v>3099.91</v>
      </c>
      <c r="P980" s="4">
        <f>IF(O980="","",IF(F980&gt;O980,"Above","Below"))</f>
        <v/>
      </c>
      <c r="Q980" s="16" t="n">
        <v>186037</v>
      </c>
      <c r="R980" s="17" t="n">
        <v>0</v>
      </c>
      <c r="S980" s="17" t="n">
        <v>0</v>
      </c>
      <c r="T980" s="17" t="n">
        <v>0</v>
      </c>
      <c r="U980" s="18" t="n">
        <v>0</v>
      </c>
    </row>
    <row r="981">
      <c r="A981" s="13" t="n">
        <v>45894</v>
      </c>
      <c r="B981" s="4">
        <f>TEXT(A981,"ddd")</f>
        <v/>
      </c>
      <c r="C981" s="14" t="n">
        <v>3417.6</v>
      </c>
      <c r="D981" s="14" t="n">
        <v>3421.5</v>
      </c>
      <c r="E981" s="14" t="n">
        <v>3405.5</v>
      </c>
      <c r="F981" s="14" t="n">
        <v>3417.5</v>
      </c>
      <c r="G981" s="9">
        <f>F981-F980</f>
        <v/>
      </c>
      <c r="H981" s="10">
        <f>IF(F980=0,0,G981/F980)</f>
        <v/>
      </c>
      <c r="I981" s="8">
        <f>D981-E981</f>
        <v/>
      </c>
      <c r="J981" s="4">
        <f>IF(F981&gt;C981,"Up",IF(F981&lt;C981,"Down","Flat"))</f>
        <v/>
      </c>
      <c r="K981" s="14" t="n">
        <v>45.3</v>
      </c>
      <c r="L981" s="15" t="n">
        <v>55.17</v>
      </c>
      <c r="M981" s="14" t="n">
        <v>3392.27</v>
      </c>
      <c r="N981" s="14" t="n">
        <v>3366.37</v>
      </c>
      <c r="O981" s="14" t="n">
        <v>3103.07</v>
      </c>
      <c r="P981" s="4">
        <f>IF(O981="","",IF(F981&gt;O981,"Above","Below"))</f>
        <v/>
      </c>
      <c r="Q981" s="16" t="n">
        <v>97780</v>
      </c>
      <c r="R981" s="17" t="n">
        <v>0</v>
      </c>
      <c r="S981" s="17" t="n">
        <v>0</v>
      </c>
      <c r="T981" s="17" t="n">
        <v>0</v>
      </c>
      <c r="U981" s="18" t="n">
        <v>0</v>
      </c>
    </row>
    <row r="982">
      <c r="A982" s="13" t="n">
        <v>45895</v>
      </c>
      <c r="B982" s="4">
        <f>TEXT(A982,"ddd")</f>
        <v/>
      </c>
      <c r="C982" s="14" t="n">
        <v>3410.8</v>
      </c>
      <c r="D982" s="14" t="n">
        <v>3443.3</v>
      </c>
      <c r="E982" s="14" t="n">
        <v>3396.1</v>
      </c>
      <c r="F982" s="14" t="n">
        <v>3433</v>
      </c>
      <c r="G982" s="9">
        <f>F982-F981</f>
        <v/>
      </c>
      <c r="H982" s="10">
        <f>IF(F981=0,0,G982/F981)</f>
        <v/>
      </c>
      <c r="I982" s="8">
        <f>D982-E982</f>
        <v/>
      </c>
      <c r="J982" s="4">
        <f>IF(F982&gt;C982,"Up",IF(F982&lt;C982,"Down","Flat"))</f>
        <v/>
      </c>
      <c r="K982" s="14" t="n">
        <v>45.44</v>
      </c>
      <c r="L982" s="15" t="n">
        <v>57.45</v>
      </c>
      <c r="M982" s="14" t="n">
        <v>3396.15</v>
      </c>
      <c r="N982" s="14" t="n">
        <v>3368.99</v>
      </c>
      <c r="O982" s="14" t="n">
        <v>3106.35</v>
      </c>
      <c r="P982" s="4">
        <f>IF(O982="","",IF(F982&gt;O982,"Above","Below"))</f>
        <v/>
      </c>
      <c r="Q982" s="16" t="n">
        <v>176297</v>
      </c>
      <c r="R982" s="17" t="n">
        <v>0</v>
      </c>
      <c r="S982" s="17" t="n">
        <v>0</v>
      </c>
      <c r="T982" s="17" t="n">
        <v>0</v>
      </c>
      <c r="U982" s="18" t="n">
        <v>0</v>
      </c>
    </row>
    <row r="983">
      <c r="A983" s="13" t="n">
        <v>45896</v>
      </c>
      <c r="B983" s="4">
        <f>TEXT(A983,"ddd")</f>
        <v/>
      </c>
      <c r="C983" s="14" t="n">
        <v>3443</v>
      </c>
      <c r="D983" s="14" t="n">
        <v>3452.5</v>
      </c>
      <c r="E983" s="14" t="n">
        <v>3422.2</v>
      </c>
      <c r="F983" s="14" t="n">
        <v>3448.6</v>
      </c>
      <c r="G983" s="9">
        <f>F983-F982</f>
        <v/>
      </c>
      <c r="H983" s="10">
        <f>IF(F982=0,0,G983/F982)</f>
        <v/>
      </c>
      <c r="I983" s="8">
        <f>D983-E983</f>
        <v/>
      </c>
      <c r="J983" s="4">
        <f>IF(F983&gt;C983,"Up",IF(F983&lt;C983,"Down","Flat"))</f>
        <v/>
      </c>
      <c r="K983" s="14" t="n">
        <v>44.35</v>
      </c>
      <c r="L983" s="15" t="n">
        <v>59.66</v>
      </c>
      <c r="M983" s="14" t="n">
        <v>3401.15</v>
      </c>
      <c r="N983" s="14" t="n">
        <v>3372.11</v>
      </c>
      <c r="O983" s="14" t="n">
        <v>3109.76</v>
      </c>
      <c r="P983" s="4">
        <f>IF(O983="","",IF(F983&gt;O983,"Above","Below"))</f>
        <v/>
      </c>
      <c r="Q983" s="16" t="n">
        <v>153806</v>
      </c>
      <c r="R983" s="17" t="n">
        <v>0</v>
      </c>
      <c r="S983" s="17" t="n">
        <v>0</v>
      </c>
      <c r="T983" s="17" t="n">
        <v>0</v>
      </c>
      <c r="U983" s="18" t="n">
        <v>0</v>
      </c>
    </row>
    <row r="984">
      <c r="A984" s="13" t="n">
        <v>45897</v>
      </c>
      <c r="B984" s="4">
        <f>TEXT(A984,"ddd")</f>
        <v/>
      </c>
      <c r="C984" s="14" t="n">
        <v>3452.6</v>
      </c>
      <c r="D984" s="14" t="n">
        <v>3478.7</v>
      </c>
      <c r="E984" s="14" t="n">
        <v>3442.5</v>
      </c>
      <c r="F984" s="14" t="n">
        <v>3474.3</v>
      </c>
      <c r="G984" s="9">
        <f>F984-F983</f>
        <v/>
      </c>
      <c r="H984" s="10">
        <f>IF(F983=0,0,G984/F983)</f>
        <v/>
      </c>
      <c r="I984" s="8">
        <f>D984-E984</f>
        <v/>
      </c>
      <c r="J984" s="4">
        <f>IF(F984&gt;C984,"Up",IF(F984&lt;C984,"Down","Flat"))</f>
        <v/>
      </c>
      <c r="K984" s="14" t="n">
        <v>43.77</v>
      </c>
      <c r="L984" s="15" t="n">
        <v>63.07</v>
      </c>
      <c r="M984" s="14" t="n">
        <v>3408.11</v>
      </c>
      <c r="N984" s="14" t="n">
        <v>3376.12</v>
      </c>
      <c r="O984" s="14" t="n">
        <v>3113.38</v>
      </c>
      <c r="P984" s="4">
        <f>IF(O984="","",IF(F984&gt;O984,"Above","Below"))</f>
        <v/>
      </c>
      <c r="Q984" s="16" t="n">
        <v>156602</v>
      </c>
      <c r="R984" s="17" t="n">
        <v>0</v>
      </c>
      <c r="S984" s="17" t="n">
        <v>0</v>
      </c>
      <c r="T984" s="17" t="n">
        <v>0</v>
      </c>
      <c r="U984" s="18" t="n">
        <v>0</v>
      </c>
    </row>
    <row r="985">
      <c r="A985" s="13" t="n">
        <v>45898</v>
      </c>
      <c r="B985" s="4">
        <f>TEXT(A985,"ddd")</f>
        <v/>
      </c>
      <c r="C985" s="14" t="n">
        <v>3477.2</v>
      </c>
      <c r="D985" s="14" t="n">
        <v>3518.5</v>
      </c>
      <c r="E985" s="14" t="n">
        <v>3463</v>
      </c>
      <c r="F985" s="14" t="n">
        <v>3516.1</v>
      </c>
      <c r="G985" s="9">
        <f>F985-F984</f>
        <v/>
      </c>
      <c r="H985" s="10">
        <f>IF(F984=0,0,G985/F984)</f>
        <v/>
      </c>
      <c r="I985" s="8">
        <f>D985-E985</f>
        <v/>
      </c>
      <c r="J985" s="4">
        <f>IF(F985&gt;C985,"Up",IF(F985&lt;C985,"Down","Flat"))</f>
        <v/>
      </c>
      <c r="K985" s="14" t="n">
        <v>44.61</v>
      </c>
      <c r="L985" s="15" t="n">
        <v>67.84</v>
      </c>
      <c r="M985" s="14" t="n">
        <v>3418.4</v>
      </c>
      <c r="N985" s="14" t="n">
        <v>3381.6</v>
      </c>
      <c r="O985" s="14" t="n">
        <v>3117.39</v>
      </c>
      <c r="P985" s="4">
        <f>IF(O985="","",IF(F985&gt;O985,"Above","Below"))</f>
        <v/>
      </c>
      <c r="Q985" s="16" t="n">
        <v>0</v>
      </c>
      <c r="R985" s="17" t="n">
        <v>0</v>
      </c>
      <c r="S985" s="17" t="n">
        <v>0</v>
      </c>
      <c r="T985" s="17" t="n">
        <v>0</v>
      </c>
      <c r="U985" s="18" t="n">
        <v>0</v>
      </c>
    </row>
    <row r="986">
      <c r="A986" s="13" t="n">
        <v>45902</v>
      </c>
      <c r="B986" s="4">
        <f>TEXT(A986,"ddd")</f>
        <v/>
      </c>
      <c r="C986" s="14" t="n">
        <v>3517.9</v>
      </c>
      <c r="D986" s="14" t="n">
        <v>3602.4</v>
      </c>
      <c r="E986" s="14" t="n">
        <v>3506</v>
      </c>
      <c r="F986" s="14" t="n">
        <v>3592.2</v>
      </c>
      <c r="G986" s="9">
        <f>F986-F985</f>
        <v/>
      </c>
      <c r="H986" s="10">
        <f>IF(F985=0,0,G986/F985)</f>
        <v/>
      </c>
      <c r="I986" s="8">
        <f>D986-E986</f>
        <v/>
      </c>
      <c r="J986" s="4">
        <f>IF(F986&gt;C986,"Up",IF(F986&lt;C986,"Down","Flat"))</f>
        <v/>
      </c>
      <c r="K986" s="14" t="n">
        <v>48.31</v>
      </c>
      <c r="L986" s="15" t="n">
        <v>74.33</v>
      </c>
      <c r="M986" s="14" t="n">
        <v>3434.95</v>
      </c>
      <c r="N986" s="14" t="n">
        <v>3389.86</v>
      </c>
      <c r="O986" s="14" t="n">
        <v>3122.11</v>
      </c>
      <c r="P986" s="4">
        <f>IF(O986="","",IF(F986&gt;O986,"Above","Below"))</f>
        <v/>
      </c>
      <c r="Q986" s="16" t="n">
        <v>374141</v>
      </c>
      <c r="R986" s="17" t="n">
        <v>0</v>
      </c>
      <c r="S986" s="17" t="n">
        <v>0</v>
      </c>
      <c r="T986" s="17" t="n">
        <v>0</v>
      </c>
      <c r="U986" s="18" t="n">
        <v>0</v>
      </c>
    </row>
    <row r="987">
      <c r="A987" s="13" t="n">
        <v>45903</v>
      </c>
      <c r="B987" s="4">
        <f>TEXT(A987,"ddd")</f>
        <v/>
      </c>
      <c r="C987" s="14" t="n">
        <v>3600</v>
      </c>
      <c r="D987" s="14" t="n">
        <v>3640.1</v>
      </c>
      <c r="E987" s="14" t="n">
        <v>3592.4</v>
      </c>
      <c r="F987" s="14" t="n">
        <v>3635.5</v>
      </c>
      <c r="G987" s="9">
        <f>F987-F986</f>
        <v/>
      </c>
      <c r="H987" s="10">
        <f>IF(F986=0,0,G987/F986)</f>
        <v/>
      </c>
      <c r="I987" s="8">
        <f>D987-E987</f>
        <v/>
      </c>
      <c r="J987" s="4">
        <f>IF(F987&gt;C987,"Up",IF(F987&lt;C987,"Down","Flat"))</f>
        <v/>
      </c>
      <c r="K987" s="14" t="n">
        <v>48.28</v>
      </c>
      <c r="L987" s="15" t="n">
        <v>77.16</v>
      </c>
      <c r="M987" s="14" t="n">
        <v>3454.05</v>
      </c>
      <c r="N987" s="14" t="n">
        <v>3399.5</v>
      </c>
      <c r="O987" s="14" t="n">
        <v>3127.22</v>
      </c>
      <c r="P987" s="4">
        <f>IF(O987="","",IF(F987&gt;O987,"Above","Below"))</f>
        <v/>
      </c>
      <c r="Q987" s="16" t="n">
        <v>220786</v>
      </c>
      <c r="R987" s="17" t="n">
        <v>0</v>
      </c>
      <c r="S987" s="17" t="n">
        <v>0</v>
      </c>
      <c r="T987" s="17" t="n">
        <v>0</v>
      </c>
      <c r="U987" s="18" t="n">
        <v>0</v>
      </c>
    </row>
    <row r="988">
      <c r="A988" s="13" t="n">
        <v>45904</v>
      </c>
      <c r="B988" s="4">
        <f>TEXT(A988,"ddd")</f>
        <v/>
      </c>
      <c r="C988" s="14" t="n">
        <v>3619.8</v>
      </c>
      <c r="D988" s="14" t="n">
        <v>3621.6</v>
      </c>
      <c r="E988" s="14" t="n">
        <v>3573.7</v>
      </c>
      <c r="F988" s="14" t="n">
        <v>3606.7</v>
      </c>
      <c r="G988" s="9">
        <f>F988-F987</f>
        <v/>
      </c>
      <c r="H988" s="10">
        <f>IF(F987=0,0,G988/F987)</f>
        <v/>
      </c>
      <c r="I988" s="8">
        <f>D988-E988</f>
        <v/>
      </c>
      <c r="J988" s="4">
        <f>IF(F988&gt;C988,"Up",IF(F988&lt;C988,"Down","Flat"))</f>
        <v/>
      </c>
      <c r="K988" s="14" t="n">
        <v>49.25</v>
      </c>
      <c r="L988" s="15" t="n">
        <v>71.52</v>
      </c>
      <c r="M988" s="14" t="n">
        <v>3468.59</v>
      </c>
      <c r="N988" s="14" t="n">
        <v>3407.62</v>
      </c>
      <c r="O988" s="14" t="n">
        <v>3131.99</v>
      </c>
      <c r="P988" s="4">
        <f>IF(O988="","",IF(F988&gt;O988,"Above","Below"))</f>
        <v/>
      </c>
      <c r="Q988" s="16" t="n">
        <v>232579</v>
      </c>
      <c r="R988" s="17" t="n">
        <v>0</v>
      </c>
      <c r="S988" s="17" t="n">
        <v>0</v>
      </c>
      <c r="T988" s="17" t="n">
        <v>0</v>
      </c>
      <c r="U988" s="18" t="n">
        <v>0</v>
      </c>
    </row>
    <row r="989">
      <c r="A989" s="13" t="n">
        <v>45905</v>
      </c>
      <c r="B989" s="4">
        <f>TEXT(A989,"ddd")</f>
        <v/>
      </c>
      <c r="C989" s="14" t="n">
        <v>3602</v>
      </c>
      <c r="D989" s="14" t="n">
        <v>3655.5</v>
      </c>
      <c r="E989" s="14" t="n">
        <v>3595.4</v>
      </c>
      <c r="F989" s="14" t="n">
        <v>3653.3</v>
      </c>
      <c r="G989" s="9">
        <f>F989-F988</f>
        <v/>
      </c>
      <c r="H989" s="10">
        <f>IF(F988=0,0,G989/F988)</f>
        <v/>
      </c>
      <c r="I989" s="8">
        <f>D989-E989</f>
        <v/>
      </c>
      <c r="J989" s="4">
        <f>IF(F989&gt;C989,"Up",IF(F989&lt;C989,"Down","Flat"))</f>
        <v/>
      </c>
      <c r="K989" s="14" t="n">
        <v>50.02</v>
      </c>
      <c r="L989" s="15" t="n">
        <v>74.73999999999999</v>
      </c>
      <c r="M989" s="14" t="n">
        <v>3486.18</v>
      </c>
      <c r="N989" s="14" t="n">
        <v>3417.26</v>
      </c>
      <c r="O989" s="14" t="n">
        <v>3137.18</v>
      </c>
      <c r="P989" s="4">
        <f>IF(O989="","",IF(F989&gt;O989,"Above","Below"))</f>
        <v/>
      </c>
      <c r="Q989" s="16" t="n">
        <v>237651</v>
      </c>
      <c r="R989" s="17" t="n">
        <v>0</v>
      </c>
      <c r="S989" s="17" t="n">
        <v>0</v>
      </c>
      <c r="T989" s="17" t="n">
        <v>0</v>
      </c>
      <c r="U989" s="18" t="n">
        <v>0</v>
      </c>
    </row>
    <row r="990">
      <c r="A990" s="13" t="n">
        <v>45908</v>
      </c>
      <c r="B990" s="4">
        <f>TEXT(A990,"ddd")</f>
        <v/>
      </c>
      <c r="C990" s="14" t="n">
        <v>3635</v>
      </c>
      <c r="D990" s="14" t="n">
        <v>3685.7</v>
      </c>
      <c r="E990" s="14" t="n">
        <v>3621.7</v>
      </c>
      <c r="F990" s="14" t="n">
        <v>3677.4</v>
      </c>
      <c r="G990" s="9">
        <f>F990-F989</f>
        <v/>
      </c>
      <c r="H990" s="10">
        <f>IF(F989=0,0,G990/F989)</f>
        <v/>
      </c>
      <c r="I990" s="8">
        <f>D990-E990</f>
        <v/>
      </c>
      <c r="J990" s="4">
        <f>IF(F990&gt;C990,"Up",IF(F990&lt;C990,"Down","Flat"))</f>
        <v/>
      </c>
      <c r="K990" s="14" t="n">
        <v>51.02</v>
      </c>
      <c r="L990" s="15" t="n">
        <v>76.23</v>
      </c>
      <c r="M990" s="14" t="n">
        <v>3504.39</v>
      </c>
      <c r="N990" s="14" t="n">
        <v>3427.46</v>
      </c>
      <c r="O990" s="14" t="n">
        <v>3142.56</v>
      </c>
      <c r="P990" s="4">
        <f>IF(O990="","",IF(F990&gt;O990,"Above","Below"))</f>
        <v/>
      </c>
      <c r="Q990" s="16" t="n">
        <v>227640</v>
      </c>
      <c r="R990" s="17" t="n">
        <v>0</v>
      </c>
      <c r="S990" s="17" t="n">
        <v>0</v>
      </c>
      <c r="T990" s="17" t="n">
        <v>0</v>
      </c>
      <c r="U990" s="18" t="n">
        <v>0</v>
      </c>
    </row>
    <row r="991">
      <c r="A991" s="13" t="n">
        <v>45909</v>
      </c>
      <c r="B991" s="4">
        <f>TEXT(A991,"ddd")</f>
        <v/>
      </c>
      <c r="C991" s="14" t="n">
        <v>3676.6</v>
      </c>
      <c r="D991" s="14" t="n">
        <v>3715.2</v>
      </c>
      <c r="E991" s="14" t="n">
        <v>3663.7</v>
      </c>
      <c r="F991" s="14" t="n">
        <v>3682.2</v>
      </c>
      <c r="G991" s="9">
        <f>F991-F990</f>
        <v/>
      </c>
      <c r="H991" s="10">
        <f>IF(F990=0,0,G991/F990)</f>
        <v/>
      </c>
      <c r="I991" s="8">
        <f>D991-E991</f>
        <v/>
      </c>
      <c r="J991" s="4">
        <f>IF(F991&gt;C991,"Up",IF(F991&lt;C991,"Down","Flat"))</f>
        <v/>
      </c>
      <c r="K991" s="14" t="n">
        <v>51.05</v>
      </c>
      <c r="L991" s="15" t="n">
        <v>76.53</v>
      </c>
      <c r="M991" s="14" t="n">
        <v>3521.33</v>
      </c>
      <c r="N991" s="14" t="n">
        <v>3437.45</v>
      </c>
      <c r="O991" s="14" t="n">
        <v>3147.93</v>
      </c>
      <c r="P991" s="4">
        <f>IF(O991="","",IF(F991&gt;O991,"Above","Below"))</f>
        <v/>
      </c>
      <c r="Q991" s="16" t="n">
        <v>262656</v>
      </c>
      <c r="R991" s="17" t="n">
        <v>0</v>
      </c>
      <c r="S991" s="17" t="n">
        <v>0</v>
      </c>
      <c r="T991" s="17" t="n">
        <v>0</v>
      </c>
      <c r="U991" s="18" t="n">
        <v>0</v>
      </c>
    </row>
    <row r="992">
      <c r="A992" s="13" t="n">
        <v>45910</v>
      </c>
      <c r="B992" s="4">
        <f>TEXT(A992,"ddd")</f>
        <v/>
      </c>
      <c r="C992" s="14" t="n">
        <v>3662</v>
      </c>
      <c r="D992" s="14" t="n">
        <v>3697.5</v>
      </c>
      <c r="E992" s="14" t="n">
        <v>3651.4</v>
      </c>
      <c r="F992" s="14" t="n">
        <v>3682</v>
      </c>
      <c r="G992" s="9">
        <f>F992-F991</f>
        <v/>
      </c>
      <c r="H992" s="10">
        <f>IF(F991=0,0,G992/F991)</f>
        <v/>
      </c>
      <c r="I992" s="8">
        <f>D992-E992</f>
        <v/>
      </c>
      <c r="J992" s="4">
        <f>IF(F992&gt;C992,"Up",IF(F992&lt;C992,"Down","Flat"))</f>
        <v/>
      </c>
      <c r="K992" s="14" t="n">
        <v>50.7</v>
      </c>
      <c r="L992" s="15" t="n">
        <v>76.48999999999999</v>
      </c>
      <c r="M992" s="14" t="n">
        <v>3536.63</v>
      </c>
      <c r="N992" s="14" t="n">
        <v>3447.04</v>
      </c>
      <c r="O992" s="14" t="n">
        <v>3153.24</v>
      </c>
      <c r="P992" s="4">
        <f>IF(O992="","",IF(F992&gt;O992,"Above","Below"))</f>
        <v/>
      </c>
      <c r="Q992" s="16" t="n">
        <v>182028</v>
      </c>
      <c r="R992" s="17" t="n">
        <v>0</v>
      </c>
      <c r="S992" s="17" t="n">
        <v>0</v>
      </c>
      <c r="T992" s="17" t="n">
        <v>0</v>
      </c>
      <c r="U992" s="18" t="n">
        <v>0</v>
      </c>
    </row>
    <row r="993">
      <c r="A993" s="13" t="n">
        <v>45911</v>
      </c>
      <c r="B993" s="4">
        <f>TEXT(A993,"ddd")</f>
        <v/>
      </c>
      <c r="C993" s="14" t="n">
        <v>3680.6</v>
      </c>
      <c r="D993" s="14" t="n">
        <v>3687.5</v>
      </c>
      <c r="E993" s="14" t="n">
        <v>3651</v>
      </c>
      <c r="F993" s="14" t="n">
        <v>3673.6</v>
      </c>
      <c r="G993" s="9">
        <f>F993-F992</f>
        <v/>
      </c>
      <c r="H993" s="10">
        <f>IF(F992=0,0,G993/F992)</f>
        <v/>
      </c>
      <c r="I993" s="8">
        <f>D993-E993</f>
        <v/>
      </c>
      <c r="J993" s="4">
        <f>IF(F993&gt;C993,"Up",IF(F993&lt;C993,"Down","Flat"))</f>
        <v/>
      </c>
      <c r="K993" s="14" t="n">
        <v>49.69</v>
      </c>
      <c r="L993" s="15" t="n">
        <v>74.59</v>
      </c>
      <c r="M993" s="14" t="n">
        <v>3549.67</v>
      </c>
      <c r="N993" s="14" t="n">
        <v>3455.92</v>
      </c>
      <c r="O993" s="14" t="n">
        <v>3158.42</v>
      </c>
      <c r="P993" s="4">
        <f>IF(O993="","",IF(F993&gt;O993,"Above","Below"))</f>
        <v/>
      </c>
      <c r="Q993" s="16" t="n">
        <v>214612</v>
      </c>
      <c r="R993" s="17" t="n">
        <v>0</v>
      </c>
      <c r="S993" s="17" t="n">
        <v>0</v>
      </c>
      <c r="T993" s="17" t="n">
        <v>0</v>
      </c>
      <c r="U993" s="18" t="n">
        <v>0</v>
      </c>
    </row>
    <row r="994">
      <c r="A994" s="13" t="n">
        <v>45912</v>
      </c>
      <c r="B994" s="4">
        <f>TEXT(A994,"ddd")</f>
        <v/>
      </c>
      <c r="C994" s="14" t="n">
        <v>3672.8</v>
      </c>
      <c r="D994" s="14" t="n">
        <v>3695.5</v>
      </c>
      <c r="E994" s="14" t="n">
        <v>3667.3</v>
      </c>
      <c r="F994" s="14" t="n">
        <v>3686.4</v>
      </c>
      <c r="G994" s="9">
        <f>F994-F993</f>
        <v/>
      </c>
      <c r="H994" s="10">
        <f>IF(F993=0,0,G994/F993)</f>
        <v/>
      </c>
      <c r="I994" s="8">
        <f>D994-E994</f>
        <v/>
      </c>
      <c r="J994" s="4">
        <f>IF(F994&gt;C994,"Up",IF(F994&lt;C994,"Down","Flat"))</f>
        <v/>
      </c>
      <c r="K994" s="14" t="n">
        <v>48.15</v>
      </c>
      <c r="L994" s="15" t="n">
        <v>75.58</v>
      </c>
      <c r="M994" s="14" t="n">
        <v>3562.7</v>
      </c>
      <c r="N994" s="14" t="n">
        <v>3464.96</v>
      </c>
      <c r="O994" s="14" t="n">
        <v>3163.67</v>
      </c>
      <c r="P994" s="4">
        <f>IF(O994="","",IF(F994&gt;O994,"Above","Below"))</f>
        <v/>
      </c>
      <c r="Q994" s="16" t="n">
        <v>154559</v>
      </c>
      <c r="R994" s="17" t="n">
        <v>0</v>
      </c>
      <c r="S994" s="17" t="n">
        <v>0</v>
      </c>
      <c r="T994" s="17" t="n">
        <v>0</v>
      </c>
      <c r="U994" s="18" t="n">
        <v>0</v>
      </c>
    </row>
    <row r="995">
      <c r="A995" s="13" t="n">
        <v>45915</v>
      </c>
      <c r="B995" s="4">
        <f>TEXT(A995,"ddd")</f>
        <v/>
      </c>
      <c r="C995" s="14" t="n">
        <v>3680.2</v>
      </c>
      <c r="D995" s="14" t="n">
        <v>3724.9</v>
      </c>
      <c r="E995" s="14" t="n">
        <v>3662.8</v>
      </c>
      <c r="F995" s="14" t="n">
        <v>3719</v>
      </c>
      <c r="G995" s="9">
        <f>F995-F994</f>
        <v/>
      </c>
      <c r="H995" s="10">
        <f>IF(F994=0,0,G995/F994)</f>
        <v/>
      </c>
      <c r="I995" s="8">
        <f>D995-E995</f>
        <v/>
      </c>
      <c r="J995" s="4">
        <f>IF(F995&gt;C995,"Up",IF(F995&lt;C995,"Down","Flat"))</f>
        <v/>
      </c>
      <c r="K995" s="14" t="n">
        <v>49.15</v>
      </c>
      <c r="L995" s="15" t="n">
        <v>77.95</v>
      </c>
      <c r="M995" s="14" t="n">
        <v>3577.58</v>
      </c>
      <c r="N995" s="14" t="n">
        <v>3474.92</v>
      </c>
      <c r="O995" s="14" t="n">
        <v>3169.2</v>
      </c>
      <c r="P995" s="4">
        <f>IF(O995="","",IF(F995&gt;O995,"Above","Below"))</f>
        <v/>
      </c>
      <c r="Q995" s="16" t="n">
        <v>189452</v>
      </c>
      <c r="R995" s="17" t="n">
        <v>0</v>
      </c>
      <c r="S995" s="17" t="n">
        <v>0</v>
      </c>
      <c r="T995" s="17" t="n">
        <v>0</v>
      </c>
      <c r="U995" s="18" t="n">
        <v>0</v>
      </c>
    </row>
    <row r="996">
      <c r="A996" s="13" t="n">
        <v>45916</v>
      </c>
      <c r="B996" s="4">
        <f>TEXT(A996,"ddd")</f>
        <v/>
      </c>
      <c r="C996" s="14" t="n">
        <v>3720.3</v>
      </c>
      <c r="D996" s="14" t="n">
        <v>3739.9</v>
      </c>
      <c r="E996" s="14" t="n">
        <v>3711.8</v>
      </c>
      <c r="F996" s="14" t="n">
        <v>3725.1</v>
      </c>
      <c r="G996" s="9">
        <f>F996-F995</f>
        <v/>
      </c>
      <c r="H996" s="10">
        <f>IF(F995=0,0,G996/F995)</f>
        <v/>
      </c>
      <c r="I996" s="8">
        <f>D996-E996</f>
        <v/>
      </c>
      <c r="J996" s="4">
        <f>IF(F996&gt;C996,"Up",IF(F996&lt;C996,"Down","Flat"))</f>
        <v/>
      </c>
      <c r="K996" s="14" t="n">
        <v>47.64</v>
      </c>
      <c r="L996" s="15" t="n">
        <v>78.37</v>
      </c>
      <c r="M996" s="14" t="n">
        <v>3591.63</v>
      </c>
      <c r="N996" s="14" t="n">
        <v>3484.73</v>
      </c>
      <c r="O996" s="14" t="n">
        <v>3174.73</v>
      </c>
      <c r="P996" s="4">
        <f>IF(O996="","",IF(F996&gt;O996,"Above","Below"))</f>
        <v/>
      </c>
      <c r="Q996" s="16" t="n">
        <v>192295</v>
      </c>
      <c r="R996" s="17" t="n">
        <v>0</v>
      </c>
      <c r="S996" s="17" t="n">
        <v>0</v>
      </c>
      <c r="T996" s="17" t="n">
        <v>0</v>
      </c>
      <c r="U996" s="18" t="n">
        <v>0</v>
      </c>
    </row>
    <row r="997">
      <c r="A997" s="13" t="n">
        <v>45917</v>
      </c>
      <c r="B997" s="4">
        <f>TEXT(A997,"ddd")</f>
        <v/>
      </c>
      <c r="C997" s="14" t="n">
        <v>3727.3</v>
      </c>
      <c r="D997" s="14" t="n">
        <v>3744</v>
      </c>
      <c r="E997" s="14" t="n">
        <v>3679.5</v>
      </c>
      <c r="F997" s="14" t="n">
        <v>3717.8</v>
      </c>
      <c r="G997" s="9">
        <f>F997-F996</f>
        <v/>
      </c>
      <c r="H997" s="10">
        <f>IF(F996=0,0,G997/F996)</f>
        <v/>
      </c>
      <c r="I997" s="8">
        <f>D997-E997</f>
        <v/>
      </c>
      <c r="J997" s="4">
        <f>IF(F997&gt;C997,"Up",IF(F997&lt;C997,"Down","Flat"))</f>
        <v/>
      </c>
      <c r="K997" s="14" t="n">
        <v>48.85</v>
      </c>
      <c r="L997" s="15" t="n">
        <v>76.48</v>
      </c>
      <c r="M997" s="14" t="n">
        <v>3603.65</v>
      </c>
      <c r="N997" s="14" t="n">
        <v>3493.87</v>
      </c>
      <c r="O997" s="14" t="n">
        <v>3180.13</v>
      </c>
      <c r="P997" s="4">
        <f>IF(O997="","",IF(F997&gt;O997,"Above","Below"))</f>
        <v/>
      </c>
      <c r="Q997" s="16" t="n">
        <v>256047</v>
      </c>
      <c r="R997" s="17" t="n">
        <v>0</v>
      </c>
      <c r="S997" s="17" t="n">
        <v>0</v>
      </c>
      <c r="T997" s="17" t="n">
        <v>0</v>
      </c>
      <c r="U997" s="18" t="n">
        <v>0</v>
      </c>
    </row>
    <row r="998">
      <c r="A998" s="13" t="n">
        <v>45918</v>
      </c>
      <c r="B998" s="4">
        <f>TEXT(A998,"ddd")</f>
        <v/>
      </c>
      <c r="C998" s="14" t="n">
        <v>3692.5</v>
      </c>
      <c r="D998" s="14" t="n">
        <v>3707.3</v>
      </c>
      <c r="E998" s="14" t="n">
        <v>3660.5</v>
      </c>
      <c r="F998" s="14" t="n">
        <v>3678.3</v>
      </c>
      <c r="G998" s="9">
        <f>F998-F997</f>
        <v/>
      </c>
      <c r="H998" s="10">
        <f>IF(F997=0,0,G998/F997)</f>
        <v/>
      </c>
      <c r="I998" s="8">
        <f>D998-E998</f>
        <v/>
      </c>
      <c r="J998" s="4">
        <f>IF(F998&gt;C998,"Up",IF(F998&lt;C998,"Down","Flat"))</f>
        <v/>
      </c>
      <c r="K998" s="14" t="n">
        <v>49.45</v>
      </c>
      <c r="L998" s="15" t="n">
        <v>67.06999999999999</v>
      </c>
      <c r="M998" s="14" t="n">
        <v>3610.76</v>
      </c>
      <c r="N998" s="14" t="n">
        <v>3501.11</v>
      </c>
      <c r="O998" s="14" t="n">
        <v>3185.09</v>
      </c>
      <c r="P998" s="4">
        <f>IF(O998="","",IF(F998&gt;O998,"Above","Below"))</f>
        <v/>
      </c>
      <c r="Q998" s="16" t="n">
        <v>224128</v>
      </c>
      <c r="R998" s="17" t="n">
        <v>0</v>
      </c>
      <c r="S998" s="17" t="n">
        <v>0</v>
      </c>
      <c r="T998" s="17" t="n">
        <v>0</v>
      </c>
      <c r="U998" s="18" t="n">
        <v>0</v>
      </c>
    </row>
    <row r="999">
      <c r="A999" s="13" t="n">
        <v>45919</v>
      </c>
      <c r="B999" s="4">
        <f>TEXT(A999,"ddd")</f>
        <v/>
      </c>
      <c r="C999" s="14" t="n">
        <v>3677.7</v>
      </c>
      <c r="D999" s="14" t="n">
        <v>3719.6</v>
      </c>
      <c r="E999" s="14" t="n">
        <v>3664.4</v>
      </c>
      <c r="F999" s="14" t="n">
        <v>3705.8</v>
      </c>
      <c r="G999" s="9">
        <f>F999-F998</f>
        <v/>
      </c>
      <c r="H999" s="10">
        <f>IF(F998=0,0,G999/F998)</f>
        <v/>
      </c>
      <c r="I999" s="8">
        <f>D999-E999</f>
        <v/>
      </c>
      <c r="J999" s="4">
        <f>IF(F999&gt;C999,"Up",IF(F999&lt;C999,"Down","Flat"))</f>
        <v/>
      </c>
      <c r="K999" s="14" t="n">
        <v>49.86</v>
      </c>
      <c r="L999" s="15" t="n">
        <v>69.84999999999999</v>
      </c>
      <c r="M999" s="14" t="n">
        <v>3619.81</v>
      </c>
      <c r="N999" s="14" t="n">
        <v>3509.13</v>
      </c>
      <c r="O999" s="14" t="n">
        <v>3190.27</v>
      </c>
      <c r="P999" s="4">
        <f>IF(O999="","",IF(F999&gt;O999,"Above","Below"))</f>
        <v/>
      </c>
      <c r="Q999" s="16" t="n">
        <v>186954</v>
      </c>
      <c r="R999" s="17" t="n">
        <v>0</v>
      </c>
      <c r="S999" s="17" t="n">
        <v>0</v>
      </c>
      <c r="T999" s="17" t="n">
        <v>0</v>
      </c>
      <c r="U999" s="18" t="n">
        <v>0</v>
      </c>
    </row>
    <row r="1000">
      <c r="A1000" s="13" t="n">
        <v>45922</v>
      </c>
      <c r="B1000" s="4">
        <f>TEXT(A1000,"ddd")</f>
        <v/>
      </c>
      <c r="C1000" s="14" t="n">
        <v>3721.3</v>
      </c>
      <c r="D1000" s="14" t="n">
        <v>3783.3</v>
      </c>
      <c r="E1000" s="14" t="n">
        <v>3718.1</v>
      </c>
      <c r="F1000" s="14" t="n">
        <v>3775.1</v>
      </c>
      <c r="G1000" s="9">
        <f>F1000-F999</f>
        <v/>
      </c>
      <c r="H1000" s="10">
        <f>IF(F999=0,0,G1000/F999)</f>
        <v/>
      </c>
      <c r="I1000" s="8">
        <f>D1000-E1000</f>
        <v/>
      </c>
      <c r="J1000" s="4">
        <f>IF(F1000&gt;C1000,"Up",IF(F1000&lt;C1000,"Down","Flat"))</f>
        <v/>
      </c>
      <c r="K1000" s="14" t="n">
        <v>51.84</v>
      </c>
      <c r="L1000" s="15" t="n">
        <v>75.48</v>
      </c>
      <c r="M1000" s="14" t="n">
        <v>3634.6</v>
      </c>
      <c r="N1000" s="14" t="n">
        <v>3519.56</v>
      </c>
      <c r="O1000" s="14" t="n">
        <v>3196.09</v>
      </c>
      <c r="P1000" s="4">
        <f>IF(O1000="","",IF(F1000&gt;O1000,"Above","Below"))</f>
        <v/>
      </c>
      <c r="Q1000" s="16" t="n">
        <v>219170</v>
      </c>
      <c r="R1000" s="17" t="n">
        <v>0</v>
      </c>
      <c r="S1000" s="17" t="n">
        <v>0</v>
      </c>
      <c r="T1000" s="17" t="n">
        <v>0</v>
      </c>
      <c r="U1000" s="18" t="n">
        <v>0</v>
      </c>
    </row>
    <row r="1001">
      <c r="A1001" s="13" t="n">
        <v>45923</v>
      </c>
      <c r="B1001" s="4">
        <f>TEXT(A1001,"ddd")</f>
        <v/>
      </c>
      <c r="C1001" s="14" t="n">
        <v>3781.2</v>
      </c>
      <c r="D1001" s="14" t="n">
        <v>3824.6</v>
      </c>
      <c r="E1001" s="14" t="n">
        <v>3772.4</v>
      </c>
      <c r="F1001" s="14" t="n">
        <v>3815.7</v>
      </c>
      <c r="G1001" s="9">
        <f>F1001-F1000</f>
        <v/>
      </c>
      <c r="H1001" s="10">
        <f>IF(F1000=0,0,G1001/F1000)</f>
        <v/>
      </c>
      <c r="I1001" s="8">
        <f>D1001-E1001</f>
        <v/>
      </c>
      <c r="J1001" s="4">
        <f>IF(F1001&gt;C1001,"Up",IF(F1001&lt;C1001,"Down","Flat"))</f>
        <v/>
      </c>
      <c r="K1001" s="14" t="n">
        <v>51.86</v>
      </c>
      <c r="L1001" s="15" t="n">
        <v>78.06</v>
      </c>
      <c r="M1001" s="14" t="n">
        <v>3651.85</v>
      </c>
      <c r="N1001" s="14" t="n">
        <v>3531.18</v>
      </c>
      <c r="O1001" s="14" t="n">
        <v>3202.25</v>
      </c>
      <c r="P1001" s="4">
        <f>IF(O1001="","",IF(F1001&gt;O1001,"Above","Below"))</f>
        <v/>
      </c>
      <c r="Q1001" s="16" t="n">
        <v>291564</v>
      </c>
      <c r="R1001" s="17" t="n">
        <v>0</v>
      </c>
      <c r="S1001" s="17" t="n">
        <v>0</v>
      </c>
      <c r="T1001" s="17" t="n">
        <v>0</v>
      </c>
      <c r="U1001" s="18" t="n">
        <v>0</v>
      </c>
    </row>
    <row r="1002">
      <c r="A1002" s="13" t="n">
        <v>45924</v>
      </c>
      <c r="B1002" s="4">
        <f>TEXT(A1002,"ddd")</f>
        <v/>
      </c>
      <c r="C1002" s="14" t="n">
        <v>3796.9</v>
      </c>
      <c r="D1002" s="14" t="n">
        <v>3812.6</v>
      </c>
      <c r="E1002" s="14" t="n">
        <v>3749.7</v>
      </c>
      <c r="F1002" s="14" t="n">
        <v>3768.1</v>
      </c>
      <c r="G1002" s="9">
        <f>F1002-F1001</f>
        <v/>
      </c>
      <c r="H1002" s="10">
        <f>IF(F1001=0,0,G1002/F1001)</f>
        <v/>
      </c>
      <c r="I1002" s="8">
        <f>D1002-E1002</f>
        <v/>
      </c>
      <c r="J1002" s="4">
        <f>IF(F1002&gt;C1002,"Up",IF(F1002&lt;C1002,"Down","Flat"))</f>
        <v/>
      </c>
      <c r="K1002" s="14" t="n">
        <v>52.87</v>
      </c>
      <c r="L1002" s="15" t="n">
        <v>68.90000000000001</v>
      </c>
      <c r="M1002" s="14" t="n">
        <v>3662.92</v>
      </c>
      <c r="N1002" s="14" t="n">
        <v>3540.47</v>
      </c>
      <c r="O1002" s="14" t="n">
        <v>3207.88</v>
      </c>
      <c r="P1002" s="4">
        <f>IF(O1002="","",IF(F1002&gt;O1002,"Above","Below"))</f>
        <v/>
      </c>
      <c r="Q1002" s="16" t="n">
        <v>236560</v>
      </c>
      <c r="R1002" s="17" t="n">
        <v>0</v>
      </c>
      <c r="S1002" s="17" t="n">
        <v>0</v>
      </c>
      <c r="T1002" s="17" t="n">
        <v>0</v>
      </c>
      <c r="U1002" s="18" t="n">
        <v>0</v>
      </c>
    </row>
    <row r="1003">
      <c r="A1003" s="13" t="n">
        <v>45925</v>
      </c>
      <c r="B1003" s="4">
        <f>TEXT(A1003,"ddd")</f>
        <v/>
      </c>
      <c r="C1003" s="14" t="n">
        <v>3768.3</v>
      </c>
      <c r="D1003" s="14" t="n">
        <v>3792.3</v>
      </c>
      <c r="E1003" s="14" t="n">
        <v>3751.9</v>
      </c>
      <c r="F1003" s="14" t="n">
        <v>3771.1</v>
      </c>
      <c r="G1003" s="9">
        <f>F1003-F1002</f>
        <v/>
      </c>
      <c r="H1003" s="10">
        <f>IF(F1002=0,0,G1003/F1002)</f>
        <v/>
      </c>
      <c r="I1003" s="8">
        <f>D1003-E1003</f>
        <v/>
      </c>
      <c r="J1003" s="4">
        <f>IF(F1003&gt;C1003,"Up",IF(F1003&lt;C1003,"Down","Flat"))</f>
        <v/>
      </c>
      <c r="K1003" s="14" t="n">
        <v>51.98</v>
      </c>
      <c r="L1003" s="15" t="n">
        <v>69.14</v>
      </c>
      <c r="M1003" s="14" t="n">
        <v>3673.22</v>
      </c>
      <c r="N1003" s="14" t="n">
        <v>3549.51</v>
      </c>
      <c r="O1003" s="14" t="n">
        <v>3213.49</v>
      </c>
      <c r="P1003" s="4">
        <f>IF(O1003="","",IF(F1003&gt;O1003,"Above","Below"))</f>
        <v/>
      </c>
      <c r="Q1003" s="16" t="n">
        <v>262183</v>
      </c>
      <c r="R1003" s="17" t="n">
        <v>0</v>
      </c>
      <c r="S1003" s="17" t="n">
        <v>0</v>
      </c>
      <c r="T1003" s="17" t="n">
        <v>0</v>
      </c>
      <c r="U1003" s="18" t="n">
        <v>0</v>
      </c>
    </row>
    <row r="1004">
      <c r="A1004" s="13" t="n">
        <v>45926</v>
      </c>
      <c r="B1004" s="4">
        <f>TEXT(A1004,"ddd")</f>
        <v/>
      </c>
      <c r="C1004" s="14" t="n">
        <v>3781.5</v>
      </c>
      <c r="D1004" s="14" t="n">
        <v>3814.4</v>
      </c>
      <c r="E1004" s="14" t="n">
        <v>3764</v>
      </c>
      <c r="F1004" s="14" t="n">
        <v>3809</v>
      </c>
      <c r="G1004" s="9">
        <f>F1004-F1003</f>
        <v/>
      </c>
      <c r="H1004" s="10">
        <f>IF(F1003=0,0,G1004/F1003)</f>
        <v/>
      </c>
      <c r="I1004" s="8">
        <f>D1004-E1004</f>
        <v/>
      </c>
      <c r="J1004" s="4">
        <f>IF(F1004&gt;C1004,"Up",IF(F1004&lt;C1004,"Down","Flat"))</f>
        <v/>
      </c>
      <c r="K1004" s="14" t="n">
        <v>51.87</v>
      </c>
      <c r="L1004" s="15" t="n">
        <v>72.14</v>
      </c>
      <c r="M1004" s="14" t="n">
        <v>3686.15</v>
      </c>
      <c r="N1004" s="14" t="n">
        <v>3559.69</v>
      </c>
      <c r="O1004" s="14" t="n">
        <v>3219.41</v>
      </c>
      <c r="P1004" s="4">
        <f>IF(O1004="","",IF(F1004&gt;O1004,"Above","Below"))</f>
        <v/>
      </c>
      <c r="Q1004" s="16" t="n">
        <v>214083</v>
      </c>
      <c r="R1004" s="17" t="n">
        <v>0</v>
      </c>
      <c r="S1004" s="17" t="n">
        <v>0</v>
      </c>
      <c r="T1004" s="17" t="n">
        <v>0</v>
      </c>
      <c r="U1004" s="18" t="n">
        <v>0</v>
      </c>
    </row>
    <row r="1005">
      <c r="A1005" s="13" t="n">
        <v>45929</v>
      </c>
      <c r="B1005" s="4">
        <f>TEXT(A1005,"ddd")</f>
        <v/>
      </c>
      <c r="C1005" s="14" t="n">
        <v>3788.8</v>
      </c>
      <c r="D1005" s="14" t="n">
        <v>3863.7</v>
      </c>
      <c r="E1005" s="14" t="n">
        <v>3785.5</v>
      </c>
      <c r="F1005" s="14" t="n">
        <v>3855.2</v>
      </c>
      <c r="G1005" s="9">
        <f>F1005-F1004</f>
        <v/>
      </c>
      <c r="H1005" s="10">
        <f>IF(F1004=0,0,G1005/F1004)</f>
        <v/>
      </c>
      <c r="I1005" s="8">
        <f>D1005-E1005</f>
        <v/>
      </c>
      <c r="J1005" s="4">
        <f>IF(F1005&gt;C1005,"Up",IF(F1005&lt;C1005,"Down","Flat"))</f>
        <v/>
      </c>
      <c r="K1005" s="14" t="n">
        <v>53.75</v>
      </c>
      <c r="L1005" s="15" t="n">
        <v>75.29000000000001</v>
      </c>
      <c r="M1005" s="14" t="n">
        <v>3702.25</v>
      </c>
      <c r="N1005" s="14" t="n">
        <v>3571.28</v>
      </c>
      <c r="O1005" s="14" t="n">
        <v>3225.74</v>
      </c>
      <c r="P1005" s="4">
        <f>IF(O1005="","",IF(F1005&gt;O1005,"Above","Below"))</f>
        <v/>
      </c>
      <c r="Q1005" s="16" t="n">
        <v>258145</v>
      </c>
      <c r="R1005" s="17" t="n">
        <v>0</v>
      </c>
      <c r="S1005" s="17" t="n">
        <v>0</v>
      </c>
      <c r="T1005" s="17" t="n">
        <v>0</v>
      </c>
      <c r="U1005" s="18" t="n">
        <v>0</v>
      </c>
    </row>
    <row r="1006">
      <c r="A1006" s="13" t="n">
        <v>45930</v>
      </c>
      <c r="B1006" s="4">
        <f>TEXT(A1006,"ddd")</f>
        <v/>
      </c>
      <c r="C1006" s="14" t="n">
        <v>3863.1</v>
      </c>
      <c r="D1006" s="14" t="n">
        <v>3899.2</v>
      </c>
      <c r="E1006" s="14" t="n">
        <v>3820.6</v>
      </c>
      <c r="F1006" s="14" t="n">
        <v>3873.2</v>
      </c>
      <c r="G1006" s="9">
        <f>F1006-F1005</f>
        <v/>
      </c>
      <c r="H1006" s="10">
        <f>IF(F1005=0,0,G1006/F1005)</f>
        <v/>
      </c>
      <c r="I1006" s="8">
        <f>D1006-E1006</f>
        <v/>
      </c>
      <c r="J1006" s="4">
        <f>IF(F1006&gt;C1006,"Up",IF(F1006&lt;C1006,"Down","Flat"))</f>
        <v/>
      </c>
      <c r="K1006" s="14" t="n">
        <v>55.52</v>
      </c>
      <c r="L1006" s="15" t="n">
        <v>76.41</v>
      </c>
      <c r="M1006" s="14" t="n">
        <v>3718.53</v>
      </c>
      <c r="N1006" s="14" t="n">
        <v>3583.12</v>
      </c>
      <c r="O1006" s="14" t="n">
        <v>3232.18</v>
      </c>
      <c r="P1006" s="4">
        <f>IF(O1006="","",IF(F1006&gt;O1006,"Above","Below"))</f>
        <v/>
      </c>
      <c r="Q1006" s="16" t="n">
        <v>312257</v>
      </c>
      <c r="R1006" s="17" t="n">
        <v>0</v>
      </c>
      <c r="S1006" s="17" t="n">
        <v>0</v>
      </c>
      <c r="T1006" s="17" t="n">
        <v>0</v>
      </c>
      <c r="U1006" s="18" t="n">
        <v>0</v>
      </c>
    </row>
    <row r="1007">
      <c r="A1007" s="13" t="n">
        <v>45931</v>
      </c>
      <c r="B1007" s="4">
        <f>TEXT(A1007,"ddd")</f>
        <v/>
      </c>
      <c r="C1007" s="14" t="n">
        <v>3887.7</v>
      </c>
      <c r="D1007" s="14" t="n">
        <v>3922.7</v>
      </c>
      <c r="E1007" s="14" t="n">
        <v>3880.3</v>
      </c>
      <c r="F1007" s="14" t="n">
        <v>3897.5</v>
      </c>
      <c r="G1007" s="9">
        <f>F1007-F1006</f>
        <v/>
      </c>
      <c r="H1007" s="10">
        <f>IF(F1006=0,0,G1007/F1006)</f>
        <v/>
      </c>
      <c r="I1007" s="8">
        <f>D1007-E1007</f>
        <v/>
      </c>
      <c r="J1007" s="4">
        <f>IF(F1007&gt;C1007,"Up",IF(F1007&lt;C1007,"Down","Flat"))</f>
        <v/>
      </c>
      <c r="K1007" s="14" t="n">
        <v>55.09</v>
      </c>
      <c r="L1007" s="15" t="n">
        <v>77.86</v>
      </c>
      <c r="M1007" s="14" t="n">
        <v>3735.58</v>
      </c>
      <c r="N1007" s="14" t="n">
        <v>3595.45</v>
      </c>
      <c r="O1007" s="14" t="n">
        <v>3238.8</v>
      </c>
      <c r="P1007" s="4">
        <f>IF(O1007="","",IF(F1007&gt;O1007,"Above","Below"))</f>
        <v/>
      </c>
      <c r="Q1007" s="16" t="n">
        <v>290470</v>
      </c>
      <c r="R1007" s="17" t="n">
        <v>0</v>
      </c>
      <c r="S1007" s="17" t="n">
        <v>0</v>
      </c>
      <c r="T1007" s="17" t="n">
        <v>0</v>
      </c>
      <c r="U1007" s="18" t="n">
        <v>0</v>
      </c>
    </row>
    <row r="1008">
      <c r="A1008" s="13" t="n">
        <v>45932</v>
      </c>
      <c r="B1008" s="4">
        <f>TEXT(A1008,"ddd")</f>
        <v/>
      </c>
      <c r="C1008" s="14" t="n">
        <v>3892.7</v>
      </c>
      <c r="D1008" s="14" t="n">
        <v>3923.3</v>
      </c>
      <c r="E1008" s="14" t="n">
        <v>3842.8</v>
      </c>
      <c r="F1008" s="14" t="n">
        <v>3868.1</v>
      </c>
      <c r="G1008" s="9">
        <f>F1008-F1007</f>
        <v/>
      </c>
      <c r="H1008" s="10">
        <f>IF(F1007=0,0,G1008/F1007)</f>
        <v/>
      </c>
      <c r="I1008" s="8">
        <f>D1008-E1008</f>
        <v/>
      </c>
      <c r="J1008" s="4">
        <f>IF(F1008&gt;C1008,"Up",IF(F1008&lt;C1008,"Down","Flat"))</f>
        <v/>
      </c>
      <c r="K1008" s="14" t="n">
        <v>56.91</v>
      </c>
      <c r="L1008" s="15" t="n">
        <v>72.06999999999999</v>
      </c>
      <c r="M1008" s="14" t="n">
        <v>3748.2</v>
      </c>
      <c r="N1008" s="14" t="n">
        <v>3606.14</v>
      </c>
      <c r="O1008" s="14" t="n">
        <v>3245.06</v>
      </c>
      <c r="P1008" s="4">
        <f>IF(O1008="","",IF(F1008&gt;O1008,"Above","Below"))</f>
        <v/>
      </c>
      <c r="Q1008" s="16" t="n">
        <v>284217</v>
      </c>
      <c r="R1008" s="17" t="n">
        <v>0</v>
      </c>
      <c r="S1008" s="17" t="n">
        <v>0</v>
      </c>
      <c r="T1008" s="17" t="n">
        <v>0</v>
      </c>
      <c r="U1008" s="18" t="n">
        <v>0</v>
      </c>
    </row>
    <row r="1009">
      <c r="A1009" s="13" t="n">
        <v>45933</v>
      </c>
      <c r="B1009" s="4">
        <f>TEXT(A1009,"ddd")</f>
        <v/>
      </c>
      <c r="C1009" s="14" t="n">
        <v>3880.4</v>
      </c>
      <c r="D1009" s="14" t="n">
        <v>3916.8</v>
      </c>
      <c r="E1009" s="14" t="n">
        <v>3861.1</v>
      </c>
      <c r="F1009" s="14" t="n">
        <v>3908.9</v>
      </c>
      <c r="G1009" s="9">
        <f>F1009-F1008</f>
        <v/>
      </c>
      <c r="H1009" s="10">
        <f>IF(F1008=0,0,G1009/F1008)</f>
        <v/>
      </c>
      <c r="I1009" s="8">
        <f>D1009-E1009</f>
        <v/>
      </c>
      <c r="J1009" s="4">
        <f>IF(F1009&gt;C1009,"Up",IF(F1009&lt;C1009,"Down","Flat"))</f>
        <v/>
      </c>
      <c r="K1009" s="14" t="n">
        <v>56.82</v>
      </c>
      <c r="L1009" s="15" t="n">
        <v>74.86</v>
      </c>
      <c r="M1009" s="14" t="n">
        <v>3763.5</v>
      </c>
      <c r="N1009" s="14" t="n">
        <v>3618.01</v>
      </c>
      <c r="O1009" s="14" t="n">
        <v>3251.67</v>
      </c>
      <c r="P1009" s="4">
        <f>IF(O1009="","",IF(F1009&gt;O1009,"Above","Below"))</f>
        <v/>
      </c>
      <c r="Q1009" s="16" t="n">
        <v>218284</v>
      </c>
      <c r="R1009" s="17" t="n">
        <v>0</v>
      </c>
      <c r="S1009" s="17" t="n">
        <v>0</v>
      </c>
      <c r="T1009" s="17" t="n">
        <v>0</v>
      </c>
      <c r="U1009" s="18" t="n">
        <v>0</v>
      </c>
    </row>
    <row r="1010">
      <c r="A1010" s="13" t="n">
        <v>45936</v>
      </c>
      <c r="B1010" s="4">
        <f>TEXT(A1010,"ddd")</f>
        <v/>
      </c>
      <c r="C1010" s="14" t="n">
        <v>3913.5</v>
      </c>
      <c r="D1010" s="14" t="n">
        <v>3994.5</v>
      </c>
      <c r="E1010" s="14" t="n">
        <v>3909.2</v>
      </c>
      <c r="F1010" s="14" t="n">
        <v>3976.3</v>
      </c>
      <c r="G1010" s="9">
        <f>F1010-F1009</f>
        <v/>
      </c>
      <c r="H1010" s="10">
        <f>IF(F1009=0,0,G1010/F1009)</f>
        <v/>
      </c>
      <c r="I1010" s="8">
        <f>D1010-E1010</f>
        <v/>
      </c>
      <c r="J1010" s="4">
        <f>IF(F1010&gt;C1010,"Up",IF(F1010&lt;C1010,"Down","Flat"))</f>
        <v/>
      </c>
      <c r="K1010" s="14" t="n">
        <v>58.88</v>
      </c>
      <c r="L1010" s="15" t="n">
        <v>78.66</v>
      </c>
      <c r="M1010" s="14" t="n">
        <v>3783.77</v>
      </c>
      <c r="N1010" s="14" t="n">
        <v>3632.06</v>
      </c>
      <c r="O1010" s="14" t="n">
        <v>3258.88</v>
      </c>
      <c r="P1010" s="4">
        <f>IF(O1010="","",IF(F1010&gt;O1010,"Above","Below"))</f>
        <v/>
      </c>
      <c r="Q1010" s="16" t="n">
        <v>278143</v>
      </c>
      <c r="R1010" s="17" t="n">
        <v>0</v>
      </c>
      <c r="S1010" s="17" t="n">
        <v>0</v>
      </c>
      <c r="T1010" s="17" t="n">
        <v>0</v>
      </c>
      <c r="U1010" s="18" t="n">
        <v>0</v>
      </c>
    </row>
    <row r="1011">
      <c r="A1011" s="13" t="n">
        <v>45937</v>
      </c>
      <c r="B1011" s="4">
        <f>TEXT(A1011,"ddd")</f>
        <v/>
      </c>
      <c r="C1011" s="14" t="n">
        <v>3983</v>
      </c>
      <c r="D1011" s="14" t="n">
        <v>4014.6</v>
      </c>
      <c r="E1011" s="14" t="n">
        <v>3963.4</v>
      </c>
      <c r="F1011" s="14" t="n">
        <v>4004.4</v>
      </c>
      <c r="G1011" s="9">
        <f>F1011-F1010</f>
        <v/>
      </c>
      <c r="H1011" s="10">
        <f>IF(F1010=0,0,G1011/F1010)</f>
        <v/>
      </c>
      <c r="I1011" s="8">
        <f>D1011-E1011</f>
        <v/>
      </c>
      <c r="J1011" s="4">
        <f>IF(F1011&gt;C1011,"Up",IF(F1011&lt;C1011,"Down","Flat"))</f>
        <v/>
      </c>
      <c r="K1011" s="14" t="n">
        <v>58.33</v>
      </c>
      <c r="L1011" s="15" t="n">
        <v>80.02</v>
      </c>
      <c r="M1011" s="14" t="n">
        <v>3804.78</v>
      </c>
      <c r="N1011" s="14" t="n">
        <v>3646.66</v>
      </c>
      <c r="O1011" s="14" t="n">
        <v>3266.3</v>
      </c>
      <c r="P1011" s="4">
        <f>IF(O1011="","",IF(F1011&gt;O1011,"Above","Below"))</f>
        <v/>
      </c>
      <c r="Q1011" s="16" t="n">
        <v>297512</v>
      </c>
      <c r="R1011" s="17" t="n">
        <v>0</v>
      </c>
      <c r="S1011" s="17" t="n">
        <v>0</v>
      </c>
      <c r="T1011" s="17" t="n">
        <v>0</v>
      </c>
      <c r="U1011" s="18" t="n">
        <v>0</v>
      </c>
    </row>
    <row r="1012">
      <c r="A1012" s="13" t="n">
        <v>45938</v>
      </c>
      <c r="B1012" s="4">
        <f>TEXT(A1012,"ddd")</f>
        <v/>
      </c>
      <c r="C1012" s="14" t="n">
        <v>4007.1</v>
      </c>
      <c r="D1012" s="14" t="n">
        <v>4081</v>
      </c>
      <c r="E1012" s="14" t="n">
        <v>4005.6</v>
      </c>
      <c r="F1012" s="14" t="n">
        <v>4070.5</v>
      </c>
      <c r="G1012" s="9">
        <f>F1012-F1011</f>
        <v/>
      </c>
      <c r="H1012" s="10">
        <f>IF(F1011=0,0,G1012/F1011)</f>
        <v/>
      </c>
      <c r="I1012" s="8">
        <f>D1012-E1012</f>
        <v/>
      </c>
      <c r="J1012" s="4">
        <f>IF(F1012&gt;C1012,"Up",IF(F1012&lt;C1012,"Down","Flat"))</f>
        <v/>
      </c>
      <c r="K1012" s="14" t="n">
        <v>59.63</v>
      </c>
      <c r="L1012" s="15" t="n">
        <v>82.79000000000001</v>
      </c>
      <c r="M1012" s="14" t="n">
        <v>3830.09</v>
      </c>
      <c r="N1012" s="14" t="n">
        <v>3663.28</v>
      </c>
      <c r="O1012" s="14" t="n">
        <v>3274.3</v>
      </c>
      <c r="P1012" s="4">
        <f>IF(O1012="","",IF(F1012&gt;O1012,"Above","Below"))</f>
        <v/>
      </c>
      <c r="Q1012" s="16" t="n">
        <v>348778</v>
      </c>
      <c r="R1012" s="17" t="n">
        <v>0</v>
      </c>
      <c r="S1012" s="17" t="n">
        <v>0</v>
      </c>
      <c r="T1012" s="17" t="n">
        <v>0</v>
      </c>
      <c r="U1012" s="18" t="n">
        <v>0</v>
      </c>
    </row>
    <row r="1013">
      <c r="A1013" s="13" t="n">
        <v>45939</v>
      </c>
      <c r="B1013" s="4">
        <f>TEXT(A1013,"ddd")</f>
        <v/>
      </c>
      <c r="C1013" s="14" t="n">
        <v>4061.8</v>
      </c>
      <c r="D1013" s="14" t="n">
        <v>4077.9</v>
      </c>
      <c r="E1013" s="14" t="n">
        <v>3957.9</v>
      </c>
      <c r="F1013" s="14" t="n">
        <v>3972.6</v>
      </c>
      <c r="G1013" s="9">
        <f>F1013-F1012</f>
        <v/>
      </c>
      <c r="H1013" s="10">
        <f>IF(F1012=0,0,G1013/F1012)</f>
        <v/>
      </c>
      <c r="I1013" s="8">
        <f>D1013-E1013</f>
        <v/>
      </c>
      <c r="J1013" s="4">
        <f>IF(F1013&gt;C1013,"Up",IF(F1013&lt;C1013,"Down","Flat"))</f>
        <v/>
      </c>
      <c r="K1013" s="14" t="n">
        <v>63.95</v>
      </c>
      <c r="L1013" s="15" t="n">
        <v>67.79000000000001</v>
      </c>
      <c r="M1013" s="14" t="n">
        <v>3843.66</v>
      </c>
      <c r="N1013" s="14" t="n">
        <v>3675.41</v>
      </c>
      <c r="O1013" s="14" t="n">
        <v>3281.25</v>
      </c>
      <c r="P1013" s="4">
        <f>IF(O1013="","",IF(F1013&gt;O1013,"Above","Below"))</f>
        <v/>
      </c>
      <c r="Q1013" s="16" t="n">
        <v>461023</v>
      </c>
      <c r="R1013" s="17" t="n">
        <v>0</v>
      </c>
      <c r="S1013" s="17" t="n">
        <v>0</v>
      </c>
      <c r="T1013" s="17" t="n">
        <v>0</v>
      </c>
      <c r="U1013" s="18" t="n">
        <v>0</v>
      </c>
    </row>
    <row r="1014">
      <c r="A1014" s="13" t="n">
        <v>45940</v>
      </c>
      <c r="B1014" s="4">
        <f>TEXT(A1014,"ddd")</f>
        <v/>
      </c>
      <c r="C1014" s="14" t="n">
        <v>3990.1</v>
      </c>
      <c r="D1014" s="14" t="n">
        <v>4038.6</v>
      </c>
      <c r="E1014" s="14" t="n">
        <v>3961.2</v>
      </c>
      <c r="F1014" s="14" t="n">
        <v>4000.4</v>
      </c>
      <c r="G1014" s="9">
        <f>F1014-F1013</f>
        <v/>
      </c>
      <c r="H1014" s="10">
        <f>IF(F1013=0,0,G1014/F1013)</f>
        <v/>
      </c>
      <c r="I1014" s="8">
        <f>D1014-E1014</f>
        <v/>
      </c>
      <c r="J1014" s="4">
        <f>IF(F1014&gt;C1014,"Up",IF(F1014&lt;C1014,"Down","Flat"))</f>
        <v/>
      </c>
      <c r="K1014" s="14" t="n">
        <v>64.91</v>
      </c>
      <c r="L1014" s="15" t="n">
        <v>69.48</v>
      </c>
      <c r="M1014" s="14" t="n">
        <v>3858.59</v>
      </c>
      <c r="N1014" s="14" t="n">
        <v>3688.16</v>
      </c>
      <c r="O1014" s="14" t="n">
        <v>3288.4</v>
      </c>
      <c r="P1014" s="4">
        <f>IF(O1014="","",IF(F1014&gt;O1014,"Above","Below"))</f>
        <v/>
      </c>
      <c r="Q1014" s="16" t="n">
        <v>357542</v>
      </c>
      <c r="R1014" s="17" t="n">
        <v>0</v>
      </c>
      <c r="S1014" s="17" t="n">
        <v>0</v>
      </c>
      <c r="T1014" s="17" t="n">
        <v>0</v>
      </c>
      <c r="U1014" s="18" t="n">
        <v>0</v>
      </c>
    </row>
    <row r="1015">
      <c r="A1015" s="13" t="n">
        <v>45943</v>
      </c>
      <c r="B1015" s="4">
        <f>TEXT(A1015,"ddd")</f>
        <v/>
      </c>
      <c r="C1015" s="14" t="n">
        <v>4018.3</v>
      </c>
      <c r="D1015" s="14" t="n">
        <v>4137.2</v>
      </c>
      <c r="E1015" s="14" t="n">
        <v>4011.3</v>
      </c>
      <c r="F1015" s="14" t="n">
        <v>4133</v>
      </c>
      <c r="G1015" s="9">
        <f>F1015-F1014</f>
        <v/>
      </c>
      <c r="H1015" s="10">
        <f>IF(F1014=0,0,G1015/F1014)</f>
        <v/>
      </c>
      <c r="I1015" s="8">
        <f>D1015-E1015</f>
        <v/>
      </c>
      <c r="J1015" s="4">
        <f>IF(F1015&gt;C1015,"Up",IF(F1015&lt;C1015,"Down","Flat"))</f>
        <v/>
      </c>
      <c r="K1015" s="14" t="n">
        <v>70.04000000000001</v>
      </c>
      <c r="L1015" s="15" t="n">
        <v>75.95999999999999</v>
      </c>
      <c r="M1015" s="14" t="n">
        <v>3884.72</v>
      </c>
      <c r="N1015" s="14" t="n">
        <v>3705.6</v>
      </c>
      <c r="O1015" s="14" t="n">
        <v>3296.81</v>
      </c>
      <c r="P1015" s="4">
        <f>IF(O1015="","",IF(F1015&gt;O1015,"Above","Below"))</f>
        <v/>
      </c>
      <c r="Q1015" s="16" t="n">
        <v>357542</v>
      </c>
      <c r="R1015" s="17" t="n">
        <v>0</v>
      </c>
      <c r="S1015" s="17" t="n">
        <v>0</v>
      </c>
      <c r="T1015" s="17" t="n">
        <v>0</v>
      </c>
      <c r="U1015" s="18" t="n">
        <v>0</v>
      </c>
    </row>
    <row r="1016">
      <c r="A1016" s="13" t="n">
        <v>45944</v>
      </c>
      <c r="B1016" s="4">
        <f>TEXT(A1016,"ddd")</f>
        <v/>
      </c>
      <c r="C1016" s="14" t="n">
        <v>4130.9</v>
      </c>
      <c r="D1016" s="14" t="n">
        <v>4190.9</v>
      </c>
      <c r="E1016" s="14" t="n">
        <v>4105</v>
      </c>
      <c r="F1016" s="14" t="n">
        <v>4163.4</v>
      </c>
      <c r="G1016" s="9">
        <f>F1016-F1015</f>
        <v/>
      </c>
      <c r="H1016" s="10">
        <f>IF(F1015=0,0,G1016/F1015)</f>
        <v/>
      </c>
      <c r="I1016" s="8">
        <f>D1016-E1016</f>
        <v/>
      </c>
      <c r="J1016" s="4">
        <f>IF(F1016&gt;C1016,"Up",IF(F1016&lt;C1016,"Down","Flat"))</f>
        <v/>
      </c>
      <c r="K1016" s="14" t="n">
        <v>71.18000000000001</v>
      </c>
      <c r="L1016" s="15" t="n">
        <v>77.16</v>
      </c>
      <c r="M1016" s="14" t="n">
        <v>3911.26</v>
      </c>
      <c r="N1016" s="14" t="n">
        <v>3723.56</v>
      </c>
      <c r="O1016" s="14" t="n">
        <v>3305.43</v>
      </c>
      <c r="P1016" s="4">
        <f>IF(O1016="","",IF(F1016&gt;O1016,"Above","Below"))</f>
        <v/>
      </c>
      <c r="Q1016" s="16" t="n">
        <v>405991</v>
      </c>
      <c r="R1016" s="17" t="n">
        <v>0</v>
      </c>
      <c r="S1016" s="17" t="n">
        <v>0</v>
      </c>
      <c r="T1016" s="17" t="n">
        <v>0</v>
      </c>
      <c r="U1016" s="18" t="n">
        <v>0</v>
      </c>
    </row>
    <row r="1017">
      <c r="A1017" s="13" t="n">
        <v>45945</v>
      </c>
      <c r="B1017" s="4">
        <f>TEXT(A1017,"ddd")</f>
        <v/>
      </c>
      <c r="C1017" s="14" t="n">
        <v>4160.1</v>
      </c>
      <c r="D1017" s="14" t="n">
        <v>4235.8</v>
      </c>
      <c r="E1017" s="14" t="n">
        <v>4157.3</v>
      </c>
      <c r="F1017" s="14" t="n">
        <v>4201.6</v>
      </c>
      <c r="G1017" s="9">
        <f>F1017-F1016</f>
        <v/>
      </c>
      <c r="H1017" s="10">
        <f>IF(F1016=0,0,G1017/F1016)</f>
        <v/>
      </c>
      <c r="I1017" s="8">
        <f>D1017-E1017</f>
        <v/>
      </c>
      <c r="J1017" s="4">
        <f>IF(F1017&gt;C1017,"Up",IF(F1017&lt;C1017,"Down","Flat"))</f>
        <v/>
      </c>
      <c r="K1017" s="14" t="n">
        <v>71.7</v>
      </c>
      <c r="L1017" s="15" t="n">
        <v>78.59999999999999</v>
      </c>
      <c r="M1017" s="14" t="n">
        <v>3938.91</v>
      </c>
      <c r="N1017" s="14" t="n">
        <v>3742.3</v>
      </c>
      <c r="O1017" s="14" t="n">
        <v>3314.35</v>
      </c>
      <c r="P1017" s="4">
        <f>IF(O1017="","",IF(F1017&gt;O1017,"Above","Below"))</f>
        <v/>
      </c>
      <c r="Q1017" s="16" t="n">
        <v>309914</v>
      </c>
      <c r="R1017" s="17" t="n">
        <v>0</v>
      </c>
      <c r="S1017" s="17" t="n">
        <v>0</v>
      </c>
      <c r="T1017" s="17" t="n">
        <v>0</v>
      </c>
      <c r="U1017" s="18" t="n">
        <v>0</v>
      </c>
    </row>
    <row r="1018">
      <c r="A1018" s="13" t="n">
        <v>45946</v>
      </c>
      <c r="B1018" s="4">
        <f>TEXT(A1018,"ddd")</f>
        <v/>
      </c>
      <c r="C1018" s="14" t="n">
        <v>4225.1</v>
      </c>
      <c r="D1018" s="14" t="n">
        <v>4346.7</v>
      </c>
      <c r="E1018" s="14" t="n">
        <v>4214.5</v>
      </c>
      <c r="F1018" s="14" t="n">
        <v>4304.6</v>
      </c>
      <c r="G1018" s="9">
        <f>F1018-F1017</f>
        <v/>
      </c>
      <c r="H1018" s="10">
        <f>IF(F1017=0,0,G1018/F1017)</f>
        <v/>
      </c>
      <c r="I1018" s="8">
        <f>D1018-E1018</f>
        <v/>
      </c>
      <c r="J1018" s="4">
        <f>IF(F1018&gt;C1018,"Up",IF(F1018&lt;C1018,"Down","Flat"))</f>
        <v/>
      </c>
      <c r="K1018" s="14" t="n">
        <v>76.94</v>
      </c>
      <c r="L1018" s="15" t="n">
        <v>81.92</v>
      </c>
      <c r="M1018" s="14" t="n">
        <v>3973.74</v>
      </c>
      <c r="N1018" s="14" t="n">
        <v>3764.35</v>
      </c>
      <c r="O1018" s="14" t="n">
        <v>3324.2</v>
      </c>
      <c r="P1018" s="4">
        <f>IF(O1018="","",IF(F1018&gt;O1018,"Above","Below"))</f>
        <v/>
      </c>
      <c r="Q1018" s="16" t="n">
        <v>375196</v>
      </c>
      <c r="R1018" s="17" t="n">
        <v>0</v>
      </c>
      <c r="S1018" s="17" t="n">
        <v>0</v>
      </c>
      <c r="T1018" s="17" t="n">
        <v>0</v>
      </c>
      <c r="U1018" s="18" t="n">
        <v>0</v>
      </c>
    </row>
    <row r="1019">
      <c r="A1019" s="13" t="n">
        <v>45947</v>
      </c>
      <c r="B1019" s="4">
        <f>TEXT(A1019,"ddd")</f>
        <v/>
      </c>
      <c r="C1019" s="14" t="n">
        <v>4348.1</v>
      </c>
      <c r="D1019" s="14" t="n">
        <v>4392</v>
      </c>
      <c r="E1019" s="14" t="n">
        <v>4196</v>
      </c>
      <c r="F1019" s="14" t="n">
        <v>4213.3</v>
      </c>
      <c r="G1019" s="9">
        <f>F1019-F1018</f>
        <v/>
      </c>
      <c r="H1019" s="10">
        <f>IF(F1018=0,0,G1019/F1018)</f>
        <v/>
      </c>
      <c r="I1019" s="8">
        <f>D1019-E1019</f>
        <v/>
      </c>
      <c r="J1019" s="4">
        <f>IF(F1019&gt;C1019,"Up",IF(F1019&lt;C1019,"Down","Flat"))</f>
        <v/>
      </c>
      <c r="K1019" s="14" t="n">
        <v>85.45</v>
      </c>
      <c r="L1019" s="15" t="n">
        <v>71.36</v>
      </c>
      <c r="M1019" s="14" t="n">
        <v>3996.56</v>
      </c>
      <c r="N1019" s="14" t="n">
        <v>3781.96</v>
      </c>
      <c r="O1019" s="14" t="n">
        <v>3333.05</v>
      </c>
      <c r="P1019" s="4">
        <f>IF(O1019="","",IF(F1019&gt;O1019,"Above","Below"))</f>
        <v/>
      </c>
      <c r="Q1019" s="16" t="n">
        <v>569847</v>
      </c>
      <c r="R1019" s="17" t="n">
        <v>0</v>
      </c>
      <c r="S1019" s="17" t="n">
        <v>0</v>
      </c>
      <c r="T1019" s="17" t="n">
        <v>0</v>
      </c>
      <c r="U1019" s="18" t="n">
        <v>0</v>
      </c>
    </row>
    <row r="1020">
      <c r="A1020" s="13" t="n">
        <v>45950</v>
      </c>
      <c r="B1020" s="4">
        <f>TEXT(A1020,"ddd")</f>
        <v/>
      </c>
      <c r="C1020" s="14" t="n">
        <v>4269</v>
      </c>
      <c r="D1020" s="14" t="n">
        <v>4398</v>
      </c>
      <c r="E1020" s="14" t="n">
        <v>4229.7</v>
      </c>
      <c r="F1020" s="14" t="n">
        <v>4359.4</v>
      </c>
      <c r="G1020" s="9">
        <f>F1020-F1019</f>
        <v/>
      </c>
      <c r="H1020" s="10">
        <f>IF(F1019=0,0,G1020/F1019)</f>
        <v/>
      </c>
      <c r="I1020" s="8">
        <f>D1020-E1020</f>
        <v/>
      </c>
      <c r="J1020" s="4">
        <f>IF(F1020&gt;C1020,"Up",IF(F1020&lt;C1020,"Down","Flat"))</f>
        <v/>
      </c>
      <c r="K1020" s="14" t="n">
        <v>92.54000000000001</v>
      </c>
      <c r="L1020" s="15" t="n">
        <v>76.56999999999999</v>
      </c>
      <c r="M1020" s="14" t="n">
        <v>4031.11</v>
      </c>
      <c r="N1020" s="14" t="n">
        <v>3804.6</v>
      </c>
      <c r="O1020" s="14" t="n">
        <v>3343.26</v>
      </c>
      <c r="P1020" s="4">
        <f>IF(O1020="","",IF(F1020&gt;O1020,"Above","Below"))</f>
        <v/>
      </c>
      <c r="Q1020" s="16" t="n">
        <v>338235</v>
      </c>
      <c r="R1020" s="17" t="n">
        <v>0</v>
      </c>
      <c r="S1020" s="17" t="n">
        <v>0</v>
      </c>
      <c r="T1020" s="17" t="n">
        <v>0</v>
      </c>
      <c r="U1020" s="18" t="n">
        <v>0</v>
      </c>
    </row>
    <row r="1021">
      <c r="A1021" s="13" t="n">
        <v>45951</v>
      </c>
      <c r="B1021" s="4">
        <f>TEXT(A1021,"ddd")</f>
        <v/>
      </c>
      <c r="C1021" s="14" t="n">
        <v>4371</v>
      </c>
      <c r="D1021" s="14" t="n">
        <v>4393.6</v>
      </c>
      <c r="E1021" s="14" t="n">
        <v>4093</v>
      </c>
      <c r="F1021" s="14" t="n">
        <v>4109.1</v>
      </c>
      <c r="G1021" s="9">
        <f>F1021-F1020</f>
        <v/>
      </c>
      <c r="H1021" s="10">
        <f>IF(F1020=0,0,G1021/F1020)</f>
        <v/>
      </c>
      <c r="I1021" s="8">
        <f>D1021-E1021</f>
        <v/>
      </c>
      <c r="J1021" s="4">
        <f>IF(F1021&gt;C1021,"Up",IF(F1021&lt;C1021,"Down","Flat"))</f>
        <v/>
      </c>
      <c r="K1021" s="14" t="n">
        <v>107.4</v>
      </c>
      <c r="L1021" s="15" t="n">
        <v>57.34</v>
      </c>
      <c r="M1021" s="14" t="n">
        <v>4038.54</v>
      </c>
      <c r="N1021" s="14" t="n">
        <v>3816.55</v>
      </c>
      <c r="O1021" s="14" t="n">
        <v>3350.88</v>
      </c>
      <c r="P1021" s="4">
        <f>IF(O1021="","",IF(F1021&gt;O1021,"Above","Below"))</f>
        <v/>
      </c>
      <c r="Q1021" s="16" t="n">
        <v>535325</v>
      </c>
      <c r="R1021" s="17" t="n">
        <v>0</v>
      </c>
      <c r="S1021" s="17" t="n">
        <v>0</v>
      </c>
      <c r="T1021" s="17" t="n">
        <v>0</v>
      </c>
      <c r="U1021" s="18" t="n">
        <v>0</v>
      </c>
    </row>
    <row r="1022">
      <c r="A1022" s="13" t="n">
        <v>45952</v>
      </c>
      <c r="B1022" s="4">
        <f>TEXT(A1022,"ddd")</f>
        <v/>
      </c>
      <c r="C1022" s="14" t="n">
        <v>4137</v>
      </c>
      <c r="D1022" s="14" t="n">
        <v>4175</v>
      </c>
      <c r="E1022" s="14" t="n">
        <v>4021.2</v>
      </c>
      <c r="F1022" s="14" t="n">
        <v>4065.4</v>
      </c>
      <c r="G1022" s="9">
        <f>F1022-F1021</f>
        <v/>
      </c>
      <c r="H1022" s="10">
        <f>IF(F1021=0,0,G1022/F1021)</f>
        <v/>
      </c>
      <c r="I1022" s="8">
        <f>D1022-E1022</f>
        <v/>
      </c>
      <c r="J1022" s="4">
        <f>IF(F1022&gt;C1022,"Up",IF(F1022&lt;C1022,"Down","Flat"))</f>
        <v/>
      </c>
      <c r="K1022" s="14" t="n">
        <v>110.71</v>
      </c>
      <c r="L1022" s="15" t="n">
        <v>54.75</v>
      </c>
      <c r="M1022" s="14" t="n">
        <v>4041.1</v>
      </c>
      <c r="N1022" s="14" t="n">
        <v>3826.3</v>
      </c>
      <c r="O1022" s="14" t="n">
        <v>3357.99</v>
      </c>
      <c r="P1022" s="4">
        <f>IF(O1022="","",IF(F1022&gt;O1022,"Above","Below"))</f>
        <v/>
      </c>
      <c r="Q1022" s="16" t="n">
        <v>468711</v>
      </c>
      <c r="R1022" s="17" t="n">
        <v>0</v>
      </c>
      <c r="S1022" s="17" t="n">
        <v>0</v>
      </c>
      <c r="T1022" s="17" t="n">
        <v>0</v>
      </c>
      <c r="U1022" s="18" t="n">
        <v>0</v>
      </c>
    </row>
    <row r="1023">
      <c r="A1023" s="13" t="n">
        <v>45953</v>
      </c>
      <c r="B1023" s="4">
        <f>TEXT(A1023,"ddd")</f>
        <v/>
      </c>
      <c r="C1023" s="14" t="n">
        <v>4114.8</v>
      </c>
      <c r="D1023" s="14" t="n">
        <v>4171.5</v>
      </c>
      <c r="E1023" s="14" t="n">
        <v>4079.6</v>
      </c>
      <c r="F1023" s="14" t="n">
        <v>4145.6</v>
      </c>
      <c r="G1023" s="9">
        <f>F1023-F1022</f>
        <v/>
      </c>
      <c r="H1023" s="10">
        <f>IF(F1022=0,0,G1023/F1022)</f>
        <v/>
      </c>
      <c r="I1023" s="8">
        <f>D1023-E1023</f>
        <v/>
      </c>
      <c r="J1023" s="4">
        <f>IF(F1023&gt;C1023,"Up",IF(F1023&lt;C1023,"Down","Flat"))</f>
        <v/>
      </c>
      <c r="K1023" s="14" t="n">
        <v>110.38</v>
      </c>
      <c r="L1023" s="15" t="n">
        <v>58.46</v>
      </c>
      <c r="M1023" s="14" t="n">
        <v>4051.05</v>
      </c>
      <c r="N1023" s="14" t="n">
        <v>3838.83</v>
      </c>
      <c r="O1023" s="14" t="n">
        <v>3365.83</v>
      </c>
      <c r="P1023" s="4">
        <f>IF(O1023="","",IF(F1023&gt;O1023,"Above","Below"))</f>
        <v/>
      </c>
      <c r="Q1023" s="16" t="n">
        <v>271973</v>
      </c>
      <c r="R1023" s="17" t="n">
        <v>0</v>
      </c>
      <c r="S1023" s="17" t="n">
        <v>0</v>
      </c>
      <c r="T1023" s="17" t="n">
        <v>0</v>
      </c>
      <c r="U1023" s="18" t="n">
        <v>0</v>
      </c>
    </row>
    <row r="1024">
      <c r="A1024" s="13" t="n">
        <v>45954</v>
      </c>
      <c r="B1024" s="4">
        <f>TEXT(A1024,"ddd")</f>
        <v/>
      </c>
      <c r="C1024" s="14" t="n">
        <v>4144</v>
      </c>
      <c r="D1024" s="14" t="n">
        <v>4159</v>
      </c>
      <c r="E1024" s="14" t="n">
        <v>4055.7</v>
      </c>
      <c r="F1024" s="14" t="n">
        <v>4137.8</v>
      </c>
      <c r="G1024" s="9">
        <f>F1024-F1023</f>
        <v/>
      </c>
      <c r="H1024" s="10">
        <f>IF(F1023=0,0,G1024/F1023)</f>
        <v/>
      </c>
      <c r="I1024" s="8">
        <f>D1024-E1024</f>
        <v/>
      </c>
      <c r="J1024" s="4">
        <f>IF(F1024&gt;C1024,"Up",IF(F1024&lt;C1024,"Down","Flat"))</f>
        <v/>
      </c>
      <c r="K1024" s="14" t="n">
        <v>109.88</v>
      </c>
      <c r="L1024" s="15" t="n">
        <v>57.96</v>
      </c>
      <c r="M1024" s="14" t="n">
        <v>4059.31</v>
      </c>
      <c r="N1024" s="14" t="n">
        <v>3850.55</v>
      </c>
      <c r="O1024" s="14" t="n">
        <v>3373.51</v>
      </c>
      <c r="P1024" s="4">
        <f>IF(O1024="","",IF(F1024&gt;O1024,"Above","Below"))</f>
        <v/>
      </c>
      <c r="Q1024" s="16" t="n">
        <v>297599</v>
      </c>
      <c r="R1024" s="17" t="n">
        <v>0</v>
      </c>
      <c r="S1024" s="17" t="n">
        <v>0</v>
      </c>
      <c r="T1024" s="17" t="n">
        <v>0</v>
      </c>
      <c r="U1024" s="18" t="n">
        <v>0</v>
      </c>
    </row>
    <row r="1025">
      <c r="A1025" s="13" t="n">
        <v>45957</v>
      </c>
      <c r="B1025" s="4">
        <f>TEXT(A1025,"ddd")</f>
        <v/>
      </c>
      <c r="C1025" s="14" t="n">
        <v>4103.2</v>
      </c>
      <c r="D1025" s="14" t="n">
        <v>4123.8</v>
      </c>
      <c r="E1025" s="14" t="n">
        <v>3985.9</v>
      </c>
      <c r="F1025" s="14" t="n">
        <v>4019.7</v>
      </c>
      <c r="G1025" s="9">
        <f>F1025-F1024</f>
        <v/>
      </c>
      <c r="H1025" s="10">
        <f>IF(F1024=0,0,G1025/F1024)</f>
        <v/>
      </c>
      <c r="I1025" s="8">
        <f>D1025-E1025</f>
        <v/>
      </c>
      <c r="J1025" s="4">
        <f>IF(F1025&gt;C1025,"Up",IF(F1025&lt;C1025,"Down","Flat"))</f>
        <v/>
      </c>
      <c r="K1025" s="14" t="n">
        <v>112.88</v>
      </c>
      <c r="L1025" s="15" t="n">
        <v>50.91</v>
      </c>
      <c r="M1025" s="14" t="n">
        <v>4055.54</v>
      </c>
      <c r="N1025" s="14" t="n">
        <v>3857.18</v>
      </c>
      <c r="O1025" s="14" t="n">
        <v>3379.94</v>
      </c>
      <c r="P1025" s="4">
        <f>IF(O1025="","",IF(F1025&gt;O1025,"Above","Below"))</f>
        <v/>
      </c>
      <c r="Q1025" s="16" t="n">
        <v>330749</v>
      </c>
      <c r="R1025" s="17" t="n">
        <v>0</v>
      </c>
      <c r="S1025" s="17" t="n">
        <v>0</v>
      </c>
      <c r="T1025" s="17" t="n">
        <v>0</v>
      </c>
      <c r="U1025" s="18" t="n">
        <v>0</v>
      </c>
    </row>
    <row r="1026">
      <c r="A1026" s="13" t="n">
        <v>45958</v>
      </c>
      <c r="B1026" s="4">
        <f>TEXT(A1026,"ddd")</f>
        <v/>
      </c>
      <c r="C1026" s="14" t="n">
        <v>3999.9</v>
      </c>
      <c r="D1026" s="14" t="n">
        <v>4034.2</v>
      </c>
      <c r="E1026" s="14" t="n">
        <v>3901.3</v>
      </c>
      <c r="F1026" s="14" t="n">
        <v>3983.1</v>
      </c>
      <c r="G1026" s="9">
        <f>F1026-F1025</f>
        <v/>
      </c>
      <c r="H1026" s="10">
        <f>IF(F1025=0,0,G1026/F1025)</f>
        <v/>
      </c>
      <c r="I1026" s="8">
        <f>D1026-E1026</f>
        <v/>
      </c>
      <c r="J1026" s="4">
        <f>IF(F1026&gt;C1026,"Up",IF(F1026&lt;C1026,"Down","Flat"))</f>
        <v/>
      </c>
      <c r="K1026" s="14" t="n">
        <v>114.31</v>
      </c>
      <c r="L1026" s="15" t="n">
        <v>48.92</v>
      </c>
      <c r="M1026" s="14" t="n">
        <v>4048.64</v>
      </c>
      <c r="N1026" s="14" t="n">
        <v>3862.12</v>
      </c>
      <c r="O1026" s="14" t="n">
        <v>3385.94</v>
      </c>
      <c r="P1026" s="4">
        <f>IF(O1026="","",IF(F1026&gt;O1026,"Above","Below"))</f>
        <v/>
      </c>
      <c r="Q1026" s="16" t="n">
        <v>338428</v>
      </c>
      <c r="R1026" s="17" t="n">
        <v>0</v>
      </c>
      <c r="S1026" s="17" t="n">
        <v>0</v>
      </c>
      <c r="T1026" s="17" t="n">
        <v>0</v>
      </c>
      <c r="U1026" s="18" t="n">
        <v>0</v>
      </c>
    </row>
    <row r="1027">
      <c r="A1027" s="13" t="n">
        <v>45959</v>
      </c>
      <c r="B1027" s="4">
        <f>TEXT(A1027,"ddd")</f>
        <v/>
      </c>
      <c r="C1027" s="14" t="n">
        <v>3967.2</v>
      </c>
      <c r="D1027" s="14" t="n">
        <v>4046.2</v>
      </c>
      <c r="E1027" s="14" t="n">
        <v>3930</v>
      </c>
      <c r="F1027" s="14" t="n">
        <v>4000.7</v>
      </c>
      <c r="G1027" s="9">
        <f>F1027-F1026</f>
        <v/>
      </c>
      <c r="H1027" s="10">
        <f>IF(F1026=0,0,G1027/F1026)</f>
        <v/>
      </c>
      <c r="I1027" s="8">
        <f>D1027-E1027</f>
        <v/>
      </c>
      <c r="J1027" s="4">
        <f>IF(F1027&gt;C1027,"Up",IF(F1027&lt;C1027,"Down","Flat"))</f>
        <v/>
      </c>
      <c r="K1027" s="14" t="n">
        <v>114.44</v>
      </c>
      <c r="L1027" s="15" t="n">
        <v>49.93</v>
      </c>
      <c r="M1027" s="14" t="n">
        <v>4044.08</v>
      </c>
      <c r="N1027" s="14" t="n">
        <v>3867.56</v>
      </c>
      <c r="O1027" s="14" t="n">
        <v>3392.06</v>
      </c>
      <c r="P1027" s="4">
        <f>IF(O1027="","",IF(F1027&gt;O1027,"Above","Below"))</f>
        <v/>
      </c>
      <c r="Q1027" s="16" t="n">
        <v>288266</v>
      </c>
      <c r="R1027" s="17" t="n">
        <v>0</v>
      </c>
      <c r="S1027" s="17" t="n">
        <v>0</v>
      </c>
      <c r="T1027" s="17" t="n">
        <v>0</v>
      </c>
      <c r="U1027" s="18" t="n">
        <v>0</v>
      </c>
    </row>
    <row r="1028">
      <c r="A1028" s="13" t="n">
        <v>45960</v>
      </c>
      <c r="B1028" s="4">
        <f>TEXT(A1028,"ddd")</f>
        <v/>
      </c>
      <c r="C1028" s="14" t="n">
        <v>3942.8</v>
      </c>
      <c r="D1028" s="14" t="n">
        <v>4041.5</v>
      </c>
      <c r="E1028" s="14" t="n">
        <v>3925.1</v>
      </c>
      <c r="F1028" s="14" t="n">
        <v>4015.9</v>
      </c>
      <c r="G1028" s="9">
        <f>F1028-F1027</f>
        <v/>
      </c>
      <c r="H1028" s="10">
        <f>IF(F1027=0,0,G1028/F1027)</f>
        <v/>
      </c>
      <c r="I1028" s="8">
        <f>D1028-E1028</f>
        <v/>
      </c>
      <c r="J1028" s="4">
        <f>IF(F1028&gt;C1028,"Up",IF(F1028&lt;C1028,"Down","Flat"))</f>
        <v/>
      </c>
      <c r="K1028" s="14" t="n">
        <v>114.58</v>
      </c>
      <c r="L1028" s="15" t="n">
        <v>50.84</v>
      </c>
      <c r="M1028" s="14" t="n">
        <v>4041.39</v>
      </c>
      <c r="N1028" s="14" t="n">
        <v>3873.37</v>
      </c>
      <c r="O1028" s="14" t="n">
        <v>3398.26</v>
      </c>
      <c r="P1028" s="4">
        <f>IF(O1028="","",IF(F1028&gt;O1028,"Above","Below"))</f>
        <v/>
      </c>
      <c r="Q1028" s="16" t="n">
        <v>246321</v>
      </c>
      <c r="R1028" s="17" t="n">
        <v>0</v>
      </c>
      <c r="S1028" s="17" t="n">
        <v>0</v>
      </c>
      <c r="T1028" s="17" t="n">
        <v>0</v>
      </c>
      <c r="U1028" s="18" t="n">
        <v>0</v>
      </c>
    </row>
    <row r="1029">
      <c r="A1029" s="13" t="n">
        <v>45961</v>
      </c>
      <c r="B1029" s="4">
        <f>TEXT(A1029,"ddd")</f>
        <v/>
      </c>
      <c r="C1029" s="14" t="n">
        <v>4038.2</v>
      </c>
      <c r="D1029" s="14" t="n">
        <v>4059.9</v>
      </c>
      <c r="E1029" s="14" t="n">
        <v>3982.3</v>
      </c>
      <c r="F1029" s="14" t="n">
        <v>3996.5</v>
      </c>
      <c r="G1029" s="9">
        <f>F1029-F1028</f>
        <v/>
      </c>
      <c r="H1029" s="10">
        <f>IF(F1028=0,0,G1029/F1028)</f>
        <v/>
      </c>
      <c r="I1029" s="8">
        <f>D1029-E1029</f>
        <v/>
      </c>
      <c r="J1029" s="4">
        <f>IF(F1029&gt;C1029,"Up",IF(F1029&lt;C1029,"Down","Flat"))</f>
        <v/>
      </c>
      <c r="K1029" s="14" t="n">
        <v>111.94</v>
      </c>
      <c r="L1029" s="15" t="n">
        <v>49.6</v>
      </c>
      <c r="M1029" s="14" t="n">
        <v>4037.12</v>
      </c>
      <c r="N1029" s="14" t="n">
        <v>3878.2</v>
      </c>
      <c r="O1029" s="14" t="n">
        <v>3404.22</v>
      </c>
      <c r="P1029" s="4">
        <f>IF(O1029="","",IF(F1029&gt;O1029,"Above","Below"))</f>
        <v/>
      </c>
      <c r="Q1029" s="16" t="n">
        <v>237172</v>
      </c>
      <c r="R1029" s="17" t="n">
        <v>0</v>
      </c>
      <c r="S1029" s="17" t="n">
        <v>0</v>
      </c>
      <c r="T1029" s="17" t="n">
        <v>0</v>
      </c>
      <c r="U1029" s="18" t="n">
        <v>0</v>
      </c>
    </row>
    <row r="1030">
      <c r="A1030" s="13" t="n">
        <v>45964</v>
      </c>
      <c r="B1030" s="4">
        <f>TEXT(A1030,"ddd")</f>
        <v/>
      </c>
      <c r="C1030" s="14" t="n">
        <v>4001</v>
      </c>
      <c r="D1030" s="14" t="n">
        <v>4043.1</v>
      </c>
      <c r="E1030" s="14" t="n">
        <v>3971.3</v>
      </c>
      <c r="F1030" s="14" t="n">
        <v>4014</v>
      </c>
      <c r="G1030" s="9">
        <f>F1030-F1029</f>
        <v/>
      </c>
      <c r="H1030" s="10">
        <f>IF(F1029=0,0,G1030/F1029)</f>
        <v/>
      </c>
      <c r="I1030" s="8">
        <f>D1030-E1030</f>
        <v/>
      </c>
      <c r="J1030" s="4">
        <f>IF(F1030&gt;C1030,"Up",IF(F1030&lt;C1030,"Down","Flat"))</f>
        <v/>
      </c>
      <c r="K1030" s="14" t="n">
        <v>109.07</v>
      </c>
      <c r="L1030" s="15" t="n">
        <v>50.77</v>
      </c>
      <c r="M1030" s="14" t="n">
        <v>4034.92</v>
      </c>
      <c r="N1030" s="14" t="n">
        <v>3883.53</v>
      </c>
      <c r="O1030" s="14" t="n">
        <v>3410.28</v>
      </c>
      <c r="P1030" s="4">
        <f>IF(O1030="","",IF(F1030&gt;O1030,"Above","Below"))</f>
        <v/>
      </c>
      <c r="Q1030" s="16" t="n">
        <v>0</v>
      </c>
      <c r="R1030" s="17" t="n">
        <v>0</v>
      </c>
      <c r="S1030" s="17" t="n">
        <v>0</v>
      </c>
      <c r="T1030" s="17" t="n">
        <v>0</v>
      </c>
      <c r="U1030" s="18" t="n">
        <v>0</v>
      </c>
    </row>
    <row r="1031">
      <c r="A1031" s="13" t="n">
        <v>45965</v>
      </c>
      <c r="B1031" s="4">
        <f>TEXT(A1031,"ddd")</f>
        <v/>
      </c>
      <c r="C1031" s="14" t="n">
        <v>4013.7</v>
      </c>
      <c r="D1031" s="14" t="n">
        <v>4018</v>
      </c>
      <c r="E1031" s="14" t="n">
        <v>3937.1</v>
      </c>
      <c r="F1031" s="14" t="n">
        <v>3960.5</v>
      </c>
      <c r="G1031" s="9">
        <f>F1031-F1030</f>
        <v/>
      </c>
      <c r="H1031" s="10">
        <f>IF(F1030=0,0,G1031/F1030)</f>
        <v/>
      </c>
      <c r="I1031" s="8">
        <f>D1031-E1031</f>
        <v/>
      </c>
      <c r="J1031" s="4">
        <f>IF(F1031&gt;C1031,"Up",IF(F1031&lt;C1031,"Down","Flat"))</f>
        <v/>
      </c>
      <c r="K1031" s="14" t="n">
        <v>107.06</v>
      </c>
      <c r="L1031" s="15" t="n">
        <v>47.19</v>
      </c>
      <c r="M1031" s="14" t="n">
        <v>4027.83</v>
      </c>
      <c r="N1031" s="14" t="n">
        <v>3886.55</v>
      </c>
      <c r="O1031" s="14" t="n">
        <v>3415.76</v>
      </c>
      <c r="P1031" s="4">
        <f>IF(O1031="","",IF(F1031&gt;O1031,"Above","Below"))</f>
        <v/>
      </c>
      <c r="Q1031" s="16" t="n">
        <v>250259</v>
      </c>
      <c r="R1031" s="17" t="n">
        <v>0</v>
      </c>
      <c r="S1031" s="17" t="n">
        <v>0</v>
      </c>
      <c r="T1031" s="17" t="n">
        <v>0</v>
      </c>
      <c r="U1031" s="18" t="n">
        <v>0</v>
      </c>
    </row>
    <row r="1032">
      <c r="A1032" s="13" t="n">
        <v>45966</v>
      </c>
      <c r="B1032" s="4">
        <f>TEXT(A1032,"ddd")</f>
        <v/>
      </c>
      <c r="C1032" s="14" t="n">
        <v>3939.5</v>
      </c>
      <c r="D1032" s="14" t="n">
        <v>4000.7</v>
      </c>
      <c r="E1032" s="14" t="n">
        <v>3935.7</v>
      </c>
      <c r="F1032" s="14" t="n">
        <v>3992.9</v>
      </c>
      <c r="G1032" s="9">
        <f>F1032-F1031</f>
        <v/>
      </c>
      <c r="H1032" s="10">
        <f>IF(F1031=0,0,G1032/F1031)</f>
        <v/>
      </c>
      <c r="I1032" s="8">
        <f>D1032-E1032</f>
        <v/>
      </c>
      <c r="J1032" s="4">
        <f>IF(F1032&gt;C1032,"Up",IF(F1032&lt;C1032,"Down","Flat"))</f>
        <v/>
      </c>
      <c r="K1032" s="14" t="n">
        <v>104.06</v>
      </c>
      <c r="L1032" s="15" t="n">
        <v>49.51</v>
      </c>
      <c r="M1032" s="14" t="n">
        <v>4024.5</v>
      </c>
      <c r="N1032" s="14" t="n">
        <v>3890.72</v>
      </c>
      <c r="O1032" s="14" t="n">
        <v>3421.5</v>
      </c>
      <c r="P1032" s="4">
        <f>IF(O1032="","",IF(F1032&gt;O1032,"Above","Below"))</f>
        <v/>
      </c>
      <c r="Q1032" s="16" t="n">
        <v>175161</v>
      </c>
      <c r="R1032" s="17" t="n">
        <v>0</v>
      </c>
      <c r="S1032" s="17" t="n">
        <v>0</v>
      </c>
      <c r="T1032" s="17" t="n">
        <v>0</v>
      </c>
      <c r="U1032" s="18" t="n">
        <v>0</v>
      </c>
    </row>
    <row r="1033">
      <c r="A1033" s="13" t="n">
        <v>45967</v>
      </c>
      <c r="B1033" s="4">
        <f>TEXT(A1033,"ddd")</f>
        <v/>
      </c>
      <c r="C1033" s="14" t="n">
        <v>3992.4</v>
      </c>
      <c r="D1033" s="14" t="n">
        <v>4028.7</v>
      </c>
      <c r="E1033" s="14" t="n">
        <v>3973.2</v>
      </c>
      <c r="F1033" s="14" t="n">
        <v>3991</v>
      </c>
      <c r="G1033" s="9">
        <f>F1033-F1032</f>
        <v/>
      </c>
      <c r="H1033" s="10">
        <f>IF(F1032=0,0,G1033/F1032)</f>
        <v/>
      </c>
      <c r="I1033" s="8">
        <f>D1033-E1033</f>
        <v/>
      </c>
      <c r="J1033" s="4">
        <f>IF(F1033&gt;C1033,"Up",IF(F1033&lt;C1033,"Down","Flat"))</f>
        <v/>
      </c>
      <c r="K1033" s="14" t="n">
        <v>100.59</v>
      </c>
      <c r="L1033" s="15" t="n">
        <v>49.37</v>
      </c>
      <c r="M1033" s="14" t="n">
        <v>4021.31</v>
      </c>
      <c r="N1033" s="14" t="n">
        <v>3894.65</v>
      </c>
      <c r="O1033" s="14" t="n">
        <v>3427.17</v>
      </c>
      <c r="P1033" s="4">
        <f>IF(O1033="","",IF(F1033&gt;O1033,"Above","Below"))</f>
        <v/>
      </c>
      <c r="Q1033" s="16" t="n">
        <v>188688</v>
      </c>
      <c r="R1033" s="17" t="n">
        <v>0</v>
      </c>
      <c r="S1033" s="17" t="n">
        <v>0</v>
      </c>
      <c r="T1033" s="17" t="n">
        <v>0</v>
      </c>
      <c r="U1033" s="18" t="n">
        <v>0</v>
      </c>
    </row>
    <row r="1034">
      <c r="A1034" s="13" t="n">
        <v>45968</v>
      </c>
      <c r="B1034" s="4">
        <f>TEXT(A1034,"ddd")</f>
        <v/>
      </c>
      <c r="C1034" s="14" t="n">
        <v>3986.9</v>
      </c>
      <c r="D1034" s="14" t="n">
        <v>4035.8</v>
      </c>
      <c r="E1034" s="14" t="n">
        <v>3981.6</v>
      </c>
      <c r="F1034" s="14" t="n">
        <v>4009.8</v>
      </c>
      <c r="G1034" s="9">
        <f>F1034-F1033</f>
        <v/>
      </c>
      <c r="H1034" s="10">
        <f>IF(F1033=0,0,G1034/F1033)</f>
        <v/>
      </c>
      <c r="I1034" s="8">
        <f>D1034-E1034</f>
        <v/>
      </c>
      <c r="J1034" s="4">
        <f>IF(F1034&gt;C1034,"Up",IF(F1034&lt;C1034,"Down","Flat"))</f>
        <v/>
      </c>
      <c r="K1034" s="14" t="n">
        <v>97.28</v>
      </c>
      <c r="L1034" s="15" t="n">
        <v>50.82</v>
      </c>
      <c r="M1034" s="14" t="n">
        <v>4020.21</v>
      </c>
      <c r="N1034" s="14" t="n">
        <v>3899.17</v>
      </c>
      <c r="O1034" s="14" t="n">
        <v>3432.97</v>
      </c>
      <c r="P1034" s="4">
        <f>IF(O1034="","",IF(F1034&gt;O1034,"Above","Below"))</f>
        <v/>
      </c>
      <c r="Q1034" s="16" t="n">
        <v>208649</v>
      </c>
      <c r="R1034" s="17" t="n">
        <v>0</v>
      </c>
      <c r="S1034" s="17" t="n">
        <v>0</v>
      </c>
      <c r="T1034" s="17" t="n">
        <v>0</v>
      </c>
      <c r="U1034" s="18" t="n">
        <v>0</v>
      </c>
    </row>
    <row r="1035">
      <c r="A1035" s="13" t="n">
        <v>45971</v>
      </c>
      <c r="B1035" s="4">
        <f>TEXT(A1035,"ddd")</f>
        <v/>
      </c>
      <c r="C1035" s="14" t="n">
        <v>4007.2</v>
      </c>
      <c r="D1035" s="14" t="n">
        <v>4124</v>
      </c>
      <c r="E1035" s="14" t="n">
        <v>4004.2</v>
      </c>
      <c r="F1035" s="14" t="n">
        <v>4122</v>
      </c>
      <c r="G1035" s="9">
        <f>F1035-F1034</f>
        <v/>
      </c>
      <c r="H1035" s="10">
        <f>IF(F1034=0,0,G1035/F1034)</f>
        <v/>
      </c>
      <c r="I1035" s="8">
        <f>D1035-E1035</f>
        <v/>
      </c>
      <c r="J1035" s="4">
        <f>IF(F1035&gt;C1035,"Up",IF(F1035&lt;C1035,"Down","Flat"))</f>
        <v/>
      </c>
      <c r="K1035" s="14" t="n">
        <v>98.88</v>
      </c>
      <c r="L1035" s="15" t="n">
        <v>58.47</v>
      </c>
      <c r="M1035" s="14" t="n">
        <v>4029.91</v>
      </c>
      <c r="N1035" s="14" t="n">
        <v>3907.9</v>
      </c>
      <c r="O1035" s="14" t="n">
        <v>3439.82</v>
      </c>
      <c r="P1035" s="4">
        <f>IF(O1035="","",IF(F1035&gt;O1035,"Above","Below"))</f>
        <v/>
      </c>
      <c r="Q1035" s="16" t="n">
        <v>253812</v>
      </c>
      <c r="R1035" s="17" t="n">
        <v>0</v>
      </c>
      <c r="S1035" s="17" t="n">
        <v>0</v>
      </c>
      <c r="T1035" s="17" t="n">
        <v>0</v>
      </c>
      <c r="U1035" s="18" t="n">
        <v>0</v>
      </c>
    </row>
    <row r="1036">
      <c r="A1036" s="13" t="n">
        <v>45972</v>
      </c>
      <c r="B1036" s="4">
        <f>TEXT(A1036,"ddd")</f>
        <v/>
      </c>
      <c r="C1036" s="14" t="n">
        <v>4124</v>
      </c>
      <c r="D1036" s="14" t="n">
        <v>4155</v>
      </c>
      <c r="E1036" s="14" t="n">
        <v>4102.8</v>
      </c>
      <c r="F1036" s="14" t="n">
        <v>4116.3</v>
      </c>
      <c r="G1036" s="9">
        <f>F1036-F1035</f>
        <v/>
      </c>
      <c r="H1036" s="10">
        <f>IF(F1035=0,0,G1036/F1035)</f>
        <v/>
      </c>
      <c r="I1036" s="8">
        <f>D1036-E1036</f>
        <v/>
      </c>
      <c r="J1036" s="4">
        <f>IF(F1036&gt;C1036,"Up",IF(F1036&lt;C1036,"Down","Flat"))</f>
        <v/>
      </c>
      <c r="K1036" s="14" t="n">
        <v>95.55</v>
      </c>
      <c r="L1036" s="15" t="n">
        <v>57.97</v>
      </c>
      <c r="M1036" s="14" t="n">
        <v>4038.14</v>
      </c>
      <c r="N1036" s="14" t="n">
        <v>3916.08</v>
      </c>
      <c r="O1036" s="14" t="n">
        <v>3446.55</v>
      </c>
      <c r="P1036" s="4">
        <f>IF(O1036="","",IF(F1036&gt;O1036,"Above","Below"))</f>
        <v/>
      </c>
      <c r="Q1036" s="16" t="n">
        <v>252249</v>
      </c>
      <c r="R1036" s="17" t="n">
        <v>0</v>
      </c>
      <c r="S1036" s="17" t="n">
        <v>0</v>
      </c>
      <c r="T1036" s="17" t="n">
        <v>0</v>
      </c>
      <c r="U1036" s="18" t="n">
        <v>0</v>
      </c>
    </row>
    <row r="1037">
      <c r="A1037" s="13" t="n">
        <v>45973</v>
      </c>
      <c r="B1037" s="4">
        <f>TEXT(A1037,"ddd")</f>
        <v/>
      </c>
      <c r="C1037" s="14" t="n">
        <v>4132.2</v>
      </c>
      <c r="D1037" s="14" t="n">
        <v>4218.5</v>
      </c>
      <c r="E1037" s="14" t="n">
        <v>4104.4</v>
      </c>
      <c r="F1037" s="14" t="n">
        <v>4213.6</v>
      </c>
      <c r="G1037" s="9">
        <f>F1037-F1036</f>
        <v/>
      </c>
      <c r="H1037" s="10">
        <f>IF(F1036=0,0,G1037/F1036)</f>
        <v/>
      </c>
      <c r="I1037" s="8">
        <f>D1037-E1037</f>
        <v/>
      </c>
      <c r="J1037" s="4">
        <f>IF(F1037&gt;C1037,"Up",IF(F1037&lt;C1037,"Down","Flat"))</f>
        <v/>
      </c>
      <c r="K1037" s="14" t="n">
        <v>96.87</v>
      </c>
      <c r="L1037" s="15" t="n">
        <v>63.62</v>
      </c>
      <c r="M1037" s="14" t="n">
        <v>4054.85</v>
      </c>
      <c r="N1037" s="14" t="n">
        <v>3927.74</v>
      </c>
      <c r="O1037" s="14" t="n">
        <v>3454.19</v>
      </c>
      <c r="P1037" s="4">
        <f>IF(O1037="","",IF(F1037&gt;O1037,"Above","Below"))</f>
        <v/>
      </c>
      <c r="Q1037" s="16" t="n">
        <v>296796</v>
      </c>
      <c r="R1037" s="17" t="n">
        <v>0</v>
      </c>
      <c r="S1037" s="17" t="n">
        <v>0</v>
      </c>
      <c r="T1037" s="17" t="n">
        <v>0</v>
      </c>
      <c r="U1037" s="18" t="n">
        <v>0</v>
      </c>
    </row>
    <row r="1038">
      <c r="A1038" s="13" t="n">
        <v>45974</v>
      </c>
      <c r="B1038" s="4">
        <f>TEXT(A1038,"ddd")</f>
        <v/>
      </c>
      <c r="C1038" s="14" t="n">
        <v>4202.4</v>
      </c>
      <c r="D1038" s="14" t="n">
        <v>4250</v>
      </c>
      <c r="E1038" s="14" t="n">
        <v>4148.5</v>
      </c>
      <c r="F1038" s="14" t="n">
        <v>4194.5</v>
      </c>
      <c r="G1038" s="9">
        <f>F1038-F1037</f>
        <v/>
      </c>
      <c r="H1038" s="10">
        <f>IF(F1037=0,0,G1038/F1037)</f>
        <v/>
      </c>
      <c r="I1038" s="8">
        <f>D1038-E1038</f>
        <v/>
      </c>
      <c r="J1038" s="4">
        <f>IF(F1038&gt;C1038,"Up",IF(F1038&lt;C1038,"Down","Flat"))</f>
        <v/>
      </c>
      <c r="K1038" s="14" t="n">
        <v>97.20999999999999</v>
      </c>
      <c r="L1038" s="15" t="n">
        <v>61.86</v>
      </c>
      <c r="M1038" s="14" t="n">
        <v>4068.15</v>
      </c>
      <c r="N1038" s="14" t="n">
        <v>3938.2</v>
      </c>
      <c r="O1038" s="14" t="n">
        <v>3461.55</v>
      </c>
      <c r="P1038" s="4">
        <f>IF(O1038="","",IF(F1038&gt;O1038,"Above","Below"))</f>
        <v/>
      </c>
      <c r="Q1038" s="16" t="n">
        <v>319216</v>
      </c>
      <c r="R1038" s="17" t="n">
        <v>0</v>
      </c>
      <c r="S1038" s="17" t="n">
        <v>0</v>
      </c>
      <c r="T1038" s="17" t="n">
        <v>0</v>
      </c>
      <c r="U1038" s="18" t="n">
        <v>0</v>
      </c>
    </row>
    <row r="1039">
      <c r="A1039" s="13" t="n">
        <v>45975</v>
      </c>
      <c r="B1039" s="4">
        <f>TEXT(A1039,"ddd")</f>
        <v/>
      </c>
      <c r="C1039" s="14" t="n">
        <v>4174.9</v>
      </c>
      <c r="D1039" s="14" t="n">
        <v>4215.1</v>
      </c>
      <c r="E1039" s="14" t="n">
        <v>4032.6</v>
      </c>
      <c r="F1039" s="14" t="n">
        <v>4094.2</v>
      </c>
      <c r="G1039" s="9">
        <f>F1039-F1038</f>
        <v/>
      </c>
      <c r="H1039" s="10">
        <f>IF(F1038=0,0,G1039/F1038)</f>
        <v/>
      </c>
      <c r="I1039" s="8">
        <f>D1039-E1039</f>
        <v/>
      </c>
      <c r="J1039" s="4">
        <f>IF(F1039&gt;C1039,"Up",IF(F1039&lt;C1039,"Down","Flat"))</f>
        <v/>
      </c>
      <c r="K1039" s="14" t="n">
        <v>103.3</v>
      </c>
      <c r="L1039" s="15" t="n">
        <v>53.51</v>
      </c>
      <c r="M1039" s="14" t="n">
        <v>4070.63</v>
      </c>
      <c r="N1039" s="14" t="n">
        <v>3944.32</v>
      </c>
      <c r="O1039" s="14" t="n">
        <v>3467.85</v>
      </c>
      <c r="P1039" s="4">
        <f>IF(O1039="","",IF(F1039&gt;O1039,"Above","Below"))</f>
        <v/>
      </c>
      <c r="Q1039" s="16" t="n">
        <v>342176</v>
      </c>
      <c r="R1039" s="17" t="n">
        <v>0</v>
      </c>
      <c r="S1039" s="17" t="n">
        <v>0</v>
      </c>
      <c r="T1039" s="17" t="n">
        <v>0</v>
      </c>
      <c r="U1039" s="18" t="n">
        <v>0</v>
      </c>
    </row>
    <row r="1040">
      <c r="A1040" s="13" t="n">
        <v>45978</v>
      </c>
      <c r="B1040" s="4">
        <f>TEXT(A1040,"ddd")</f>
        <v/>
      </c>
      <c r="C1040" s="14" t="n">
        <v>4084.4</v>
      </c>
      <c r="D1040" s="14" t="n">
        <v>4107.6</v>
      </c>
      <c r="E1040" s="14" t="n">
        <v>4006.8</v>
      </c>
      <c r="F1040" s="14" t="n">
        <v>4074.5</v>
      </c>
      <c r="G1040" s="9">
        <f>F1040-F1039</f>
        <v/>
      </c>
      <c r="H1040" s="10">
        <f>IF(F1039=0,0,G1040/F1039)</f>
        <v/>
      </c>
      <c r="I1040" s="8">
        <f>D1040-E1040</f>
        <v/>
      </c>
      <c r="J1040" s="4">
        <f>IF(F1040&gt;C1040,"Up",IF(F1040&lt;C1040,"Down","Flat"))</f>
        <v/>
      </c>
      <c r="K1040" s="14" t="n">
        <v>103.12</v>
      </c>
      <c r="L1040" s="15" t="n">
        <v>52.02</v>
      </c>
      <c r="M1040" s="14" t="n">
        <v>4071</v>
      </c>
      <c r="N1040" s="14" t="n">
        <v>3949.43</v>
      </c>
      <c r="O1040" s="14" t="n">
        <v>3473.88</v>
      </c>
      <c r="P1040" s="4">
        <f>IF(O1040="","",IF(F1040&gt;O1040,"Above","Below"))</f>
        <v/>
      </c>
      <c r="Q1040" s="16" t="n">
        <v>235352</v>
      </c>
      <c r="R1040" s="17" t="n">
        <v>0</v>
      </c>
      <c r="S1040" s="17" t="n">
        <v>0</v>
      </c>
      <c r="T1040" s="17" t="n">
        <v>0</v>
      </c>
      <c r="U1040" s="18" t="n">
        <v>0</v>
      </c>
    </row>
    <row r="1041">
      <c r="A1041" s="13" t="n">
        <v>45979</v>
      </c>
      <c r="B1041" s="4">
        <f>TEXT(A1041,"ddd")</f>
        <v/>
      </c>
      <c r="C1041" s="14" t="n">
        <v>4045.6</v>
      </c>
      <c r="D1041" s="14" t="n">
        <v>4083.7</v>
      </c>
      <c r="E1041" s="14" t="n">
        <v>3997.4</v>
      </c>
      <c r="F1041" s="14" t="n">
        <v>4066.5</v>
      </c>
      <c r="G1041" s="9">
        <f>F1041-F1040</f>
        <v/>
      </c>
      <c r="H1041" s="10">
        <f>IF(F1040=0,0,G1041/F1040)</f>
        <v/>
      </c>
      <c r="I1041" s="8">
        <f>D1041-E1041</f>
        <v/>
      </c>
      <c r="J1041" s="4">
        <f>IF(F1041&gt;C1041,"Up",IF(F1041&lt;C1041,"Down","Flat"))</f>
        <v/>
      </c>
      <c r="K1041" s="14" t="n">
        <v>101.92</v>
      </c>
      <c r="L1041" s="15" t="n">
        <v>51.4</v>
      </c>
      <c r="M1041" s="14" t="n">
        <v>4070.57</v>
      </c>
      <c r="N1041" s="14" t="n">
        <v>3954.02</v>
      </c>
      <c r="O1041" s="14" t="n">
        <v>3479.78</v>
      </c>
      <c r="P1041" s="4">
        <f>IF(O1041="","",IF(F1041&gt;O1041,"Above","Below"))</f>
        <v/>
      </c>
      <c r="Q1041" s="16" t="n">
        <v>233302</v>
      </c>
      <c r="R1041" s="17" t="n">
        <v>0</v>
      </c>
      <c r="S1041" s="17" t="n">
        <v>0</v>
      </c>
      <c r="T1041" s="17" t="n">
        <v>0</v>
      </c>
      <c r="U1041" s="18" t="n">
        <v>0</v>
      </c>
    </row>
    <row r="1042">
      <c r="A1042" s="13" t="n">
        <v>45980</v>
      </c>
      <c r="B1042" s="4">
        <f>TEXT(A1042,"ddd")</f>
        <v/>
      </c>
      <c r="C1042" s="14" t="n">
        <v>4067.8</v>
      </c>
      <c r="D1042" s="14" t="n">
        <v>4134.3</v>
      </c>
      <c r="E1042" s="14" t="n">
        <v>4055.6</v>
      </c>
      <c r="F1042" s="14" t="n">
        <v>4082.8</v>
      </c>
      <c r="G1042" s="9">
        <f>F1042-F1041</f>
        <v/>
      </c>
      <c r="H1042" s="10">
        <f>IF(F1041=0,0,G1042/F1041)</f>
        <v/>
      </c>
      <c r="I1042" s="8">
        <f>D1042-E1042</f>
        <v/>
      </c>
      <c r="J1042" s="4">
        <f>IF(F1042&gt;C1042,"Up",IF(F1042&lt;C1042,"Down","Flat"))</f>
        <v/>
      </c>
      <c r="K1042" s="14" t="n">
        <v>100.26</v>
      </c>
      <c r="L1042" s="15" t="n">
        <v>52.65</v>
      </c>
      <c r="M1042" s="14" t="n">
        <v>4071.73</v>
      </c>
      <c r="N1042" s="14" t="n">
        <v>3959.07</v>
      </c>
      <c r="O1042" s="14" t="n">
        <v>3485.78</v>
      </c>
      <c r="P1042" s="4">
        <f>IF(O1042="","",IF(F1042&gt;O1042,"Above","Below"))</f>
        <v/>
      </c>
      <c r="Q1042" s="16" t="n">
        <v>233696</v>
      </c>
      <c r="R1042" s="17" t="n">
        <v>0</v>
      </c>
      <c r="S1042" s="17" t="n">
        <v>0</v>
      </c>
      <c r="T1042" s="17" t="n">
        <v>0</v>
      </c>
      <c r="U1042" s="18" t="n">
        <v>0</v>
      </c>
    </row>
    <row r="1043">
      <c r="A1043" s="13" t="n">
        <v>45981</v>
      </c>
      <c r="B1043" s="4">
        <f>TEXT(A1043,"ddd")</f>
        <v/>
      </c>
      <c r="C1043" s="14" t="n">
        <v>4079.9</v>
      </c>
      <c r="D1043" s="14" t="n">
        <v>4109.6</v>
      </c>
      <c r="E1043" s="14" t="n">
        <v>4034</v>
      </c>
      <c r="F1043" s="14" t="n">
        <v>4060</v>
      </c>
      <c r="G1043" s="9">
        <f>F1043-F1042</f>
        <v/>
      </c>
      <c r="H1043" s="10">
        <f>IF(F1042=0,0,G1043/F1042)</f>
        <v/>
      </c>
      <c r="I1043" s="8">
        <f>D1043-E1043</f>
        <v/>
      </c>
      <c r="J1043" s="4">
        <f>IF(F1043&gt;C1043,"Up",IF(F1043&lt;C1043,"Down","Flat"))</f>
        <v/>
      </c>
      <c r="K1043" s="14" t="n">
        <v>98.5</v>
      </c>
      <c r="L1043" s="15" t="n">
        <v>50.69</v>
      </c>
      <c r="M1043" s="14" t="n">
        <v>4070.62</v>
      </c>
      <c r="N1043" s="14" t="n">
        <v>3963.03</v>
      </c>
      <c r="O1043" s="14" t="n">
        <v>3491.49</v>
      </c>
      <c r="P1043" s="4">
        <f>IF(O1043="","",IF(F1043&gt;O1043,"Above","Below"))</f>
        <v/>
      </c>
      <c r="Q1043" s="16" t="n">
        <v>272355</v>
      </c>
      <c r="R1043" s="17" t="n">
        <v>0</v>
      </c>
      <c r="S1043" s="17" t="n">
        <v>0</v>
      </c>
      <c r="T1043" s="17" t="n">
        <v>0</v>
      </c>
      <c r="U1043" s="18" t="n">
        <v>0</v>
      </c>
    </row>
    <row r="1044">
      <c r="A1044" s="13" t="n">
        <v>45982</v>
      </c>
      <c r="B1044" s="4">
        <f>TEXT(A1044,"ddd")</f>
        <v/>
      </c>
      <c r="C1044" s="14" t="n">
        <v>4074.9</v>
      </c>
      <c r="D1044" s="14" t="n">
        <v>4101</v>
      </c>
      <c r="E1044" s="14" t="n">
        <v>4018.1</v>
      </c>
      <c r="F1044" s="14" t="n">
        <v>4079.5</v>
      </c>
      <c r="G1044" s="9">
        <f>F1044-F1043</f>
        <v/>
      </c>
      <c r="H1044" s="10">
        <f>IF(F1043=0,0,G1044/F1043)</f>
        <v/>
      </c>
      <c r="I1044" s="8">
        <f>D1044-E1044</f>
        <v/>
      </c>
      <c r="J1044" s="4">
        <f>IF(F1044&gt;C1044,"Up",IF(F1044&lt;C1044,"Down","Flat"))</f>
        <v/>
      </c>
      <c r="K1044" s="14" t="n">
        <v>97.38</v>
      </c>
      <c r="L1044" s="15" t="n">
        <v>52.32</v>
      </c>
      <c r="M1044" s="14" t="n">
        <v>4071.46</v>
      </c>
      <c r="N1044" s="14" t="n">
        <v>3967.59</v>
      </c>
      <c r="O1044" s="14" t="n">
        <v>3497.34</v>
      </c>
      <c r="P1044" s="4">
        <f>IF(O1044="","",IF(F1044&gt;O1044,"Above","Below"))</f>
        <v/>
      </c>
      <c r="Q1044" s="16" t="n">
        <v>257813</v>
      </c>
      <c r="R1044" s="17" t="n">
        <v>0</v>
      </c>
      <c r="S1044" s="17" t="n">
        <v>0</v>
      </c>
      <c r="T1044" s="17" t="n">
        <v>0</v>
      </c>
      <c r="U1044" s="18" t="n">
        <v>0</v>
      </c>
    </row>
    <row r="1045">
      <c r="A1045" s="13" t="n">
        <v>45985</v>
      </c>
      <c r="B1045" s="4">
        <f>TEXT(A1045,"ddd")</f>
        <v/>
      </c>
      <c r="C1045" s="14" t="n">
        <v>4069.2</v>
      </c>
      <c r="D1045" s="14" t="n">
        <v>4138.2</v>
      </c>
      <c r="E1045" s="14" t="n">
        <v>4036.4</v>
      </c>
      <c r="F1045" s="14" t="n">
        <v>4094.2</v>
      </c>
      <c r="G1045" s="9">
        <f>F1045-F1044</f>
        <v/>
      </c>
      <c r="H1045" s="10">
        <f>IF(F1044=0,0,G1045/F1044)</f>
        <v/>
      </c>
      <c r="I1045" s="8">
        <f>D1045-E1045</f>
        <v/>
      </c>
      <c r="J1045" s="4">
        <f>IF(F1045&gt;C1045,"Up",IF(F1045&lt;C1045,"Down","Flat"))</f>
        <v/>
      </c>
      <c r="K1045" s="14" t="n">
        <v>97.7</v>
      </c>
      <c r="L1045" s="15" t="n">
        <v>53.57</v>
      </c>
      <c r="M1045" s="14" t="n">
        <v>4073.63</v>
      </c>
      <c r="N1045" s="14" t="n">
        <v>3972.56</v>
      </c>
      <c r="O1045" s="14" t="n">
        <v>3503.28</v>
      </c>
      <c r="P1045" s="4">
        <f>IF(O1045="","",IF(F1045&gt;O1045,"Above","Below"))</f>
        <v/>
      </c>
      <c r="Q1045" s="16" t="n">
        <v>223055</v>
      </c>
      <c r="R1045" s="17" t="n">
        <v>0</v>
      </c>
      <c r="S1045" s="17" t="n">
        <v>0</v>
      </c>
      <c r="T1045" s="17" t="n">
        <v>0</v>
      </c>
      <c r="U1045" s="18" t="n">
        <v>0</v>
      </c>
    </row>
    <row r="1046">
      <c r="A1046" s="13" t="n">
        <v>45986</v>
      </c>
      <c r="B1046" s="4">
        <f>TEXT(A1046,"ddd")</f>
        <v/>
      </c>
      <c r="C1046" s="14" t="n">
        <v>4133.5</v>
      </c>
      <c r="D1046" s="14" t="n">
        <v>4156.3</v>
      </c>
      <c r="E1046" s="14" t="n">
        <v>4106.7</v>
      </c>
      <c r="F1046" s="14" t="n">
        <v>4140</v>
      </c>
      <c r="G1046" s="9">
        <f>F1046-F1045</f>
        <v/>
      </c>
      <c r="H1046" s="10">
        <f>IF(F1045=0,0,G1046/F1045)</f>
        <v/>
      </c>
      <c r="I1046" s="8">
        <f>D1046-E1046</f>
        <v/>
      </c>
      <c r="J1046" s="4">
        <f>IF(F1046&gt;C1046,"Up",IF(F1046&lt;C1046,"Down","Flat"))</f>
        <v/>
      </c>
      <c r="K1046" s="14" t="n">
        <v>95.16</v>
      </c>
      <c r="L1046" s="15" t="n">
        <v>57.32</v>
      </c>
      <c r="M1046" s="14" t="n">
        <v>4079.95</v>
      </c>
      <c r="N1046" s="14" t="n">
        <v>3979.13</v>
      </c>
      <c r="O1046" s="14" t="n">
        <v>3509.62</v>
      </c>
      <c r="P1046" s="4">
        <f>IF(O1046="","",IF(F1046&gt;O1046,"Above","Below"))</f>
        <v/>
      </c>
      <c r="Q1046" s="16" t="n">
        <v>132704</v>
      </c>
      <c r="R1046" s="17" t="n">
        <v>0</v>
      </c>
      <c r="S1046" s="17" t="n">
        <v>0</v>
      </c>
      <c r="T1046" s="17" t="n">
        <v>0</v>
      </c>
      <c r="U1046" s="18" t="n">
        <v>0</v>
      </c>
    </row>
    <row r="1047">
      <c r="A1047" s="13" t="n">
        <v>45987</v>
      </c>
      <c r="B1047" s="4">
        <f>TEXT(A1047,"ddd")</f>
        <v/>
      </c>
      <c r="C1047" s="14" t="n">
        <v>4128.6</v>
      </c>
      <c r="D1047" s="14" t="n">
        <v>4171</v>
      </c>
      <c r="E1047" s="14" t="n">
        <v>4127.5</v>
      </c>
      <c r="F1047" s="14" t="n">
        <v>4165.2</v>
      </c>
      <c r="G1047" s="9">
        <f>F1047-F1046</f>
        <v/>
      </c>
      <c r="H1047" s="10">
        <f>IF(F1046=0,0,G1047/F1046)</f>
        <v/>
      </c>
      <c r="I1047" s="8">
        <f>D1047-E1047</f>
        <v/>
      </c>
      <c r="J1047" s="4">
        <f>IF(F1047&gt;C1047,"Up",IF(F1047&lt;C1047,"Down","Flat"))</f>
        <v/>
      </c>
      <c r="K1047" s="14" t="n">
        <v>91.47</v>
      </c>
      <c r="L1047" s="15" t="n">
        <v>59.27</v>
      </c>
      <c r="M1047" s="14" t="n">
        <v>4088.07</v>
      </c>
      <c r="N1047" s="14" t="n">
        <v>3986.42</v>
      </c>
      <c r="O1047" s="14" t="n">
        <v>3516.14</v>
      </c>
      <c r="P1047" s="4">
        <f>IF(O1047="","",IF(F1047&gt;O1047,"Above","Below"))</f>
        <v/>
      </c>
      <c r="Q1047" s="16" t="n">
        <v>25088</v>
      </c>
      <c r="R1047" s="17" t="n">
        <v>0</v>
      </c>
      <c r="S1047" s="17" t="n">
        <v>0</v>
      </c>
      <c r="T1047" s="17" t="n">
        <v>0</v>
      </c>
      <c r="U1047" s="18" t="n">
        <v>0</v>
      </c>
    </row>
    <row r="1048">
      <c r="A1048" s="13" t="n">
        <v>45989</v>
      </c>
      <c r="B1048" s="4">
        <f>TEXT(A1048,"ddd")</f>
        <v/>
      </c>
      <c r="C1048" s="14" t="n">
        <v>4198.6</v>
      </c>
      <c r="D1048" s="14" t="n">
        <v>4263.1</v>
      </c>
      <c r="E1048" s="14" t="n">
        <v>4174.6</v>
      </c>
      <c r="F1048" s="14" t="n">
        <v>4254.9</v>
      </c>
      <c r="G1048" s="9">
        <f>F1048-F1047</f>
        <v/>
      </c>
      <c r="H1048" s="10">
        <f>IF(F1047=0,0,G1048/F1047)</f>
        <v/>
      </c>
      <c r="I1048" s="8">
        <f>D1048-E1048</f>
        <v/>
      </c>
      <c r="J1048" s="4">
        <f>IF(F1048&gt;C1048,"Up",IF(F1048&lt;C1048,"Down","Flat"))</f>
        <v/>
      </c>
      <c r="K1048" s="14" t="n">
        <v>91.93000000000001</v>
      </c>
      <c r="L1048" s="15" t="n">
        <v>65.34</v>
      </c>
      <c r="M1048" s="14" t="n">
        <v>4103.96</v>
      </c>
      <c r="N1048" s="14" t="n">
        <v>3996.95</v>
      </c>
      <c r="O1048" s="14" t="n">
        <v>3523.49</v>
      </c>
      <c r="P1048" s="4">
        <f>IF(O1048="","",IF(F1048&gt;O1048,"Above","Below"))</f>
        <v/>
      </c>
      <c r="Q1048" s="16" t="n">
        <v>154806</v>
      </c>
      <c r="R1048" s="17" t="n">
        <v>0</v>
      </c>
      <c r="S1048" s="17" t="n">
        <v>0</v>
      </c>
      <c r="T1048" s="17" t="n">
        <v>0</v>
      </c>
      <c r="U1048" s="18" t="n">
        <v>0</v>
      </c>
    </row>
    <row r="1049">
      <c r="A1049" s="13" t="n">
        <v>45992</v>
      </c>
      <c r="B1049" s="4">
        <f>TEXT(A1049,"ddd")</f>
        <v/>
      </c>
      <c r="C1049" s="14" t="n">
        <v>4258.5</v>
      </c>
      <c r="D1049" s="14" t="n">
        <v>4299.6</v>
      </c>
      <c r="E1049" s="14" t="n">
        <v>4241.1</v>
      </c>
      <c r="F1049" s="14" t="n">
        <v>4274.8</v>
      </c>
      <c r="G1049" s="9">
        <f>F1049-F1048</f>
        <v/>
      </c>
      <c r="H1049" s="10">
        <f>IF(F1048=0,0,G1049/F1048)</f>
        <v/>
      </c>
      <c r="I1049" s="8">
        <f>D1049-E1049</f>
        <v/>
      </c>
      <c r="J1049" s="4">
        <f>IF(F1049&gt;C1049,"Up",IF(F1049&lt;C1049,"Down","Flat"))</f>
        <v/>
      </c>
      <c r="K1049" s="14" t="n">
        <v>89.54000000000001</v>
      </c>
      <c r="L1049" s="15" t="n">
        <v>66.53</v>
      </c>
      <c r="M1049" s="14" t="n">
        <v>4120.23</v>
      </c>
      <c r="N1049" s="14" t="n">
        <v>4007.85</v>
      </c>
      <c r="O1049" s="14" t="n">
        <v>3530.97</v>
      </c>
      <c r="P1049" s="4">
        <f>IF(O1049="","",IF(F1049&gt;O1049,"Above","Below"))</f>
        <v/>
      </c>
      <c r="Q1049" s="16" t="n">
        <v>227572</v>
      </c>
      <c r="R1049" s="17" t="n">
        <v>0</v>
      </c>
      <c r="S1049" s="17" t="n">
        <v>0</v>
      </c>
      <c r="T1049" s="17" t="n">
        <v>0</v>
      </c>
      <c r="U1049" s="18" t="n">
        <v>0</v>
      </c>
    </row>
    <row r="1050">
      <c r="A1050" s="13" t="n">
        <v>45993</v>
      </c>
      <c r="B1050" s="4">
        <f>TEXT(A1050,"ddd")</f>
        <v/>
      </c>
      <c r="C1050" s="14" t="n">
        <v>4265.3</v>
      </c>
      <c r="D1050" s="14" t="n">
        <v>4269.2</v>
      </c>
      <c r="E1050" s="14" t="n">
        <v>4194</v>
      </c>
      <c r="F1050" s="14" t="n">
        <v>4220.8</v>
      </c>
      <c r="G1050" s="9">
        <f>F1050-F1049</f>
        <v/>
      </c>
      <c r="H1050" s="10">
        <f>IF(F1049=0,0,G1050/F1049)</f>
        <v/>
      </c>
      <c r="I1050" s="8">
        <f>D1050-E1050</f>
        <v/>
      </c>
      <c r="J1050" s="4">
        <f>IF(F1050&gt;C1050,"Up",IF(F1050&lt;C1050,"Down","Flat"))</f>
        <v/>
      </c>
      <c r="K1050" s="14" t="n">
        <v>88.91</v>
      </c>
      <c r="L1050" s="15" t="n">
        <v>60.46</v>
      </c>
      <c r="M1050" s="14" t="n">
        <v>4129.81</v>
      </c>
      <c r="N1050" s="14" t="n">
        <v>4016.2</v>
      </c>
      <c r="O1050" s="14" t="n">
        <v>3537.83</v>
      </c>
      <c r="P1050" s="4">
        <f>IF(O1050="","",IF(F1050&gt;O1050,"Above","Below"))</f>
        <v/>
      </c>
      <c r="Q1050" s="16" t="n">
        <v>215921</v>
      </c>
      <c r="R1050" s="17" t="n">
        <v>0</v>
      </c>
      <c r="S1050" s="17" t="n">
        <v>0</v>
      </c>
      <c r="T1050" s="17" t="n">
        <v>0</v>
      </c>
      <c r="U1050" s="18" t="n">
        <v>0</v>
      </c>
    </row>
    <row r="1051">
      <c r="A1051" s="13" t="n">
        <v>45994</v>
      </c>
      <c r="B1051" s="4">
        <f>TEXT(A1051,"ddd")</f>
        <v/>
      </c>
      <c r="C1051" s="14" t="n">
        <v>4241.6</v>
      </c>
      <c r="D1051" s="14" t="n">
        <v>4273.3</v>
      </c>
      <c r="E1051" s="14" t="n">
        <v>4225.1</v>
      </c>
      <c r="F1051" s="14" t="n">
        <v>4232.5</v>
      </c>
      <c r="G1051" s="9">
        <f>F1051-F1050</f>
        <v/>
      </c>
      <c r="H1051" s="10">
        <f>IF(F1050=0,0,G1051/F1050)</f>
        <v/>
      </c>
      <c r="I1051" s="8">
        <f>D1051-E1051</f>
        <v/>
      </c>
      <c r="J1051" s="4">
        <f>IF(F1051&gt;C1051,"Up",IF(F1051&lt;C1051,"Down","Flat"))</f>
        <v/>
      </c>
      <c r="K1051" s="14" t="n">
        <v>86.31</v>
      </c>
      <c r="L1051" s="15" t="n">
        <v>61.28</v>
      </c>
      <c r="M1051" s="14" t="n">
        <v>4139.59</v>
      </c>
      <c r="N1051" s="14" t="n">
        <v>4024.68</v>
      </c>
      <c r="O1051" s="14" t="n">
        <v>3544.74</v>
      </c>
      <c r="P1051" s="4">
        <f>IF(O1051="","",IF(F1051&gt;O1051,"Above","Below"))</f>
        <v/>
      </c>
      <c r="Q1051" s="16" t="n">
        <v>176443</v>
      </c>
      <c r="R1051" s="17" t="n">
        <v>0</v>
      </c>
      <c r="S1051" s="17" t="n">
        <v>0</v>
      </c>
      <c r="T1051" s="17" t="n">
        <v>0</v>
      </c>
      <c r="U1051" s="18" t="n">
        <v>0</v>
      </c>
    </row>
    <row r="1052">
      <c r="A1052" s="13" t="n">
        <v>45995</v>
      </c>
      <c r="B1052" s="4">
        <f>TEXT(A1052,"ddd")</f>
        <v/>
      </c>
      <c r="C1052" s="14" t="n">
        <v>4234.5</v>
      </c>
      <c r="D1052" s="14" t="n">
        <v>4251.1</v>
      </c>
      <c r="E1052" s="14" t="n">
        <v>4203.3</v>
      </c>
      <c r="F1052" s="14" t="n">
        <v>4243</v>
      </c>
      <c r="G1052" s="9">
        <f>F1052-F1051</f>
        <v/>
      </c>
      <c r="H1052" s="10">
        <f>IF(F1051=0,0,G1052/F1051)</f>
        <v/>
      </c>
      <c r="I1052" s="8">
        <f>D1052-E1052</f>
        <v/>
      </c>
      <c r="J1052" s="4">
        <f>IF(F1052&gt;C1052,"Up",IF(F1052&lt;C1052,"Down","Flat"))</f>
        <v/>
      </c>
      <c r="K1052" s="14" t="n">
        <v>83.56</v>
      </c>
      <c r="L1052" s="15" t="n">
        <v>62.05</v>
      </c>
      <c r="M1052" s="14" t="n">
        <v>4149.44</v>
      </c>
      <c r="N1052" s="14" t="n">
        <v>4033.24</v>
      </c>
      <c r="O1052" s="14" t="n">
        <v>3551.69</v>
      </c>
      <c r="P1052" s="4">
        <f>IF(O1052="","",IF(F1052&gt;O1052,"Above","Below"))</f>
        <v/>
      </c>
      <c r="Q1052" s="16" t="n">
        <v>161251</v>
      </c>
      <c r="R1052" s="17" t="n">
        <v>0</v>
      </c>
      <c r="S1052" s="17" t="n">
        <v>0</v>
      </c>
      <c r="T1052" s="17" t="n">
        <v>0</v>
      </c>
      <c r="U1052" s="18" t="n">
        <v>0</v>
      </c>
    </row>
    <row r="1053">
      <c r="A1053" s="13" t="n">
        <v>45996</v>
      </c>
      <c r="B1053" s="4">
        <f>TEXT(A1053,"ddd")</f>
        <v/>
      </c>
      <c r="C1053" s="14" t="n">
        <v>4239.5</v>
      </c>
      <c r="D1053" s="14" t="n">
        <v>4290.5</v>
      </c>
      <c r="E1053" s="14" t="n">
        <v>4221.4</v>
      </c>
      <c r="F1053" s="14" t="n">
        <v>4243</v>
      </c>
      <c r="G1053" s="9">
        <f>F1053-F1052</f>
        <v/>
      </c>
      <c r="H1053" s="10">
        <f>IF(F1052=0,0,G1053/F1052)</f>
        <v/>
      </c>
      <c r="I1053" s="8">
        <f>D1053-E1053</f>
        <v/>
      </c>
      <c r="J1053" s="4">
        <f>IF(F1053&gt;C1053,"Up",IF(F1053&lt;C1053,"Down","Flat"))</f>
        <v/>
      </c>
      <c r="K1053" s="14" t="n">
        <v>82.53</v>
      </c>
      <c r="L1053" s="15" t="n">
        <v>62.05</v>
      </c>
      <c r="M1053" s="14" t="n">
        <v>4158.35</v>
      </c>
      <c r="N1053" s="14" t="n">
        <v>4041.47</v>
      </c>
      <c r="O1053" s="14" t="n">
        <v>3558.57</v>
      </c>
      <c r="P1053" s="4">
        <f>IF(O1053="","",IF(F1053&gt;O1053,"Above","Below"))</f>
        <v/>
      </c>
      <c r="Q1053" s="16" t="n">
        <v>193599</v>
      </c>
      <c r="R1053" s="17" t="n">
        <v>0</v>
      </c>
      <c r="S1053" s="17" t="n">
        <v>0</v>
      </c>
      <c r="T1053" s="17" t="n">
        <v>0</v>
      </c>
      <c r="U1053" s="18" t="n">
        <v>0</v>
      </c>
    </row>
    <row r="1054">
      <c r="A1054" s="13" t="n">
        <v>45999</v>
      </c>
      <c r="B1054" s="4">
        <f>TEXT(A1054,"ddd")</f>
        <v/>
      </c>
      <c r="C1054" s="14" t="n">
        <v>4228.1</v>
      </c>
      <c r="D1054" s="14" t="n">
        <v>4247.9</v>
      </c>
      <c r="E1054" s="14" t="n">
        <v>4204</v>
      </c>
      <c r="F1054" s="14" t="n">
        <v>4217.7</v>
      </c>
      <c r="G1054" s="9">
        <f>F1054-F1053</f>
        <v/>
      </c>
      <c r="H1054" s="10">
        <f>IF(F1053=0,0,G1054/F1053)</f>
        <v/>
      </c>
      <c r="I1054" s="8">
        <f>D1054-E1054</f>
        <v/>
      </c>
      <c r="J1054" s="4">
        <f>IF(F1054&gt;C1054,"Up",IF(F1054&lt;C1054,"Down","Flat"))</f>
        <v/>
      </c>
      <c r="K1054" s="14" t="n">
        <v>79.77</v>
      </c>
      <c r="L1054" s="15" t="n">
        <v>58.8</v>
      </c>
      <c r="M1054" s="14" t="n">
        <v>4164</v>
      </c>
      <c r="N1054" s="14" t="n">
        <v>4048.38</v>
      </c>
      <c r="O1054" s="14" t="n">
        <v>3565.13</v>
      </c>
      <c r="P1054" s="4">
        <f>IF(O1054="","",IF(F1054&gt;O1054,"Above","Below"))</f>
        <v/>
      </c>
      <c r="Q1054" s="16" t="n">
        <v>149813</v>
      </c>
      <c r="R1054" s="17" t="n">
        <v>0</v>
      </c>
      <c r="S1054" s="17" t="n">
        <v>0</v>
      </c>
      <c r="T1054" s="17" t="n">
        <v>0</v>
      </c>
      <c r="U1054" s="18" t="n">
        <v>0</v>
      </c>
    </row>
    <row r="1055">
      <c r="A1055" s="13" t="n">
        <v>46000</v>
      </c>
      <c r="B1055" s="4">
        <f>TEXT(A1055,"ddd")</f>
        <v/>
      </c>
      <c r="C1055" s="14" t="n">
        <v>4219.6</v>
      </c>
      <c r="D1055" s="14" t="n">
        <v>4251.7</v>
      </c>
      <c r="E1055" s="14" t="n">
        <v>4197.8</v>
      </c>
      <c r="F1055" s="14" t="n">
        <v>4236.2</v>
      </c>
      <c r="G1055" s="9">
        <f>F1055-F1054</f>
        <v/>
      </c>
      <c r="H1055" s="10">
        <f>IF(F1054=0,0,G1055/F1054)</f>
        <v/>
      </c>
      <c r="I1055" s="8">
        <f>D1055-E1055</f>
        <v/>
      </c>
      <c r="J1055" s="4">
        <f>IF(F1055&gt;C1055,"Up",IF(F1055&lt;C1055,"Down","Flat"))</f>
        <v/>
      </c>
      <c r="K1055" s="14" t="n">
        <v>77.92</v>
      </c>
      <c r="L1055" s="15" t="n">
        <v>60.43</v>
      </c>
      <c r="M1055" s="14" t="n">
        <v>4170.88</v>
      </c>
      <c r="N1055" s="14" t="n">
        <v>4055.74</v>
      </c>
      <c r="O1055" s="14" t="n">
        <v>3571.81</v>
      </c>
      <c r="P1055" s="4">
        <f>IF(O1055="","",IF(F1055&gt;O1055,"Above","Below"))</f>
        <v/>
      </c>
      <c r="Q1055" s="16" t="n">
        <v>177366</v>
      </c>
      <c r="R1055" s="17" t="n">
        <v>0</v>
      </c>
      <c r="S1055" s="17" t="n">
        <v>0</v>
      </c>
      <c r="T1055" s="17" t="n">
        <v>0</v>
      </c>
      <c r="U1055" s="18" t="n">
        <v>0</v>
      </c>
    </row>
    <row r="1056">
      <c r="A1056" s="13" t="n">
        <v>46001</v>
      </c>
      <c r="B1056" s="4">
        <f>TEXT(A1056,"ddd")</f>
        <v/>
      </c>
      <c r="C1056" s="14" t="n">
        <v>4237.5</v>
      </c>
      <c r="D1056" s="14" t="n">
        <v>4268.8</v>
      </c>
      <c r="E1056" s="14" t="n">
        <v>4207.8</v>
      </c>
      <c r="F1056" s="14" t="n">
        <v>4224.7</v>
      </c>
      <c r="G1056" s="9">
        <f>F1056-F1055</f>
        <v/>
      </c>
      <c r="H1056" s="10">
        <f>IF(F1055=0,0,G1056/F1055)</f>
        <v/>
      </c>
      <c r="I1056" s="8">
        <f>D1056-E1056</f>
        <v/>
      </c>
      <c r="J1056" s="4">
        <f>IF(F1056&gt;C1056,"Up",IF(F1056&lt;C1056,"Down","Flat"))</f>
        <v/>
      </c>
      <c r="K1056" s="14" t="n">
        <v>76.70999999999999</v>
      </c>
      <c r="L1056" s="15" t="n">
        <v>58.87</v>
      </c>
      <c r="M1056" s="14" t="n">
        <v>4176</v>
      </c>
      <c r="N1056" s="14" t="n">
        <v>4062.37</v>
      </c>
      <c r="O1056" s="14" t="n">
        <v>3578.3</v>
      </c>
      <c r="P1056" s="4">
        <f>IF(O1056="","",IF(F1056&gt;O1056,"Above","Below"))</f>
        <v/>
      </c>
      <c r="Q1056" s="16" t="n">
        <v>186178</v>
      </c>
      <c r="R1056" s="17" t="n">
        <v>0</v>
      </c>
      <c r="S1056" s="17" t="n">
        <v>0</v>
      </c>
      <c r="T1056" s="17" t="n">
        <v>0</v>
      </c>
      <c r="U1056" s="18" t="n">
        <v>0</v>
      </c>
    </row>
    <row r="1057">
      <c r="A1057" s="13" t="n">
        <v>46002</v>
      </c>
      <c r="B1057" s="4">
        <f>TEXT(A1057,"ddd")</f>
        <v/>
      </c>
      <c r="C1057" s="14" t="n">
        <v>4258.3</v>
      </c>
      <c r="D1057" s="14" t="n">
        <v>4317.3</v>
      </c>
      <c r="E1057" s="14" t="n">
        <v>4231.2</v>
      </c>
      <c r="F1057" s="14" t="n">
        <v>4313</v>
      </c>
      <c r="G1057" s="9">
        <f>F1057-F1056</f>
        <v/>
      </c>
      <c r="H1057" s="10">
        <f>IF(F1056=0,0,G1057/F1056)</f>
        <v/>
      </c>
      <c r="I1057" s="8">
        <f>D1057-E1057</f>
        <v/>
      </c>
      <c r="J1057" s="4">
        <f>IF(F1057&gt;C1057,"Up",IF(F1057&lt;C1057,"Down","Flat"))</f>
        <v/>
      </c>
      <c r="K1057" s="14" t="n">
        <v>77.84999999999999</v>
      </c>
      <c r="L1057" s="15" t="n">
        <v>66.09999999999999</v>
      </c>
      <c r="M1057" s="14" t="n">
        <v>4189.05</v>
      </c>
      <c r="N1057" s="14" t="n">
        <v>4072.2</v>
      </c>
      <c r="O1057" s="14" t="n">
        <v>3585.61</v>
      </c>
      <c r="P1057" s="4">
        <f>IF(O1057="","",IF(F1057&gt;O1057,"Above","Below"))</f>
        <v/>
      </c>
      <c r="Q1057" s="16" t="n">
        <v>228282</v>
      </c>
      <c r="R1057" s="17" t="n">
        <v>0</v>
      </c>
      <c r="S1057" s="17" t="n">
        <v>0</v>
      </c>
      <c r="T1057" s="17" t="n">
        <v>0</v>
      </c>
      <c r="U1057" s="18" t="n">
        <v>0</v>
      </c>
    </row>
    <row r="1058">
      <c r="A1058" s="13" t="n">
        <v>46003</v>
      </c>
      <c r="B1058" s="4">
        <f>TEXT(A1058,"ddd")</f>
        <v/>
      </c>
      <c r="C1058" s="14" t="n">
        <v>4309.1</v>
      </c>
      <c r="D1058" s="14" t="n">
        <v>4387.8</v>
      </c>
      <c r="E1058" s="14" t="n">
        <v>4286</v>
      </c>
      <c r="F1058" s="14" t="n">
        <v>4328.3</v>
      </c>
      <c r="G1058" s="9">
        <f>F1058-F1057</f>
        <v/>
      </c>
      <c r="H1058" s="10">
        <f>IF(F1057=0,0,G1058/F1057)</f>
        <v/>
      </c>
      <c r="I1058" s="8">
        <f>D1058-E1058</f>
        <v/>
      </c>
      <c r="J1058" s="4">
        <f>IF(F1058&gt;C1058,"Up",IF(F1058&lt;C1058,"Down","Flat"))</f>
        <v/>
      </c>
      <c r="K1058" s="14" t="n">
        <v>79.56</v>
      </c>
      <c r="L1058" s="15" t="n">
        <v>67.18000000000001</v>
      </c>
      <c r="M1058" s="14" t="n">
        <v>4202.31</v>
      </c>
      <c r="N1058" s="14" t="n">
        <v>4082.24</v>
      </c>
      <c r="O1058" s="14" t="n">
        <v>3593</v>
      </c>
      <c r="P1058" s="4">
        <f>IF(O1058="","",IF(F1058&gt;O1058,"Above","Below"))</f>
        <v/>
      </c>
      <c r="Q1058" s="16" t="n">
        <v>292175</v>
      </c>
      <c r="R1058" s="17" t="n">
        <v>0</v>
      </c>
      <c r="S1058" s="17" t="n">
        <v>0</v>
      </c>
      <c r="T1058" s="17" t="n">
        <v>0</v>
      </c>
      <c r="U1058" s="18" t="n">
        <v>0</v>
      </c>
    </row>
    <row r="1059">
      <c r="A1059" s="13" t="n">
        <v>46006</v>
      </c>
      <c r="B1059" s="4">
        <f>TEXT(A1059,"ddd")</f>
        <v/>
      </c>
      <c r="C1059" s="14" t="n">
        <v>4330</v>
      </c>
      <c r="D1059" s="14" t="n">
        <v>4384.3</v>
      </c>
      <c r="E1059" s="14" t="n">
        <v>4315.9</v>
      </c>
      <c r="F1059" s="14" t="n">
        <v>4335.2</v>
      </c>
      <c r="G1059" s="9">
        <f>F1059-F1058</f>
        <v/>
      </c>
      <c r="H1059" s="10">
        <f>IF(F1058=0,0,G1059/F1058)</f>
        <v/>
      </c>
      <c r="I1059" s="8">
        <f>D1059-E1059</f>
        <v/>
      </c>
      <c r="J1059" s="4">
        <f>IF(F1059&gt;C1059,"Up",IF(F1059&lt;C1059,"Down","Flat"))</f>
        <v/>
      </c>
      <c r="K1059" s="14" t="n">
        <v>78.76000000000001</v>
      </c>
      <c r="L1059" s="15" t="n">
        <v>67.68000000000001</v>
      </c>
      <c r="M1059" s="14" t="n">
        <v>4214.97</v>
      </c>
      <c r="N1059" s="14" t="n">
        <v>4092.16</v>
      </c>
      <c r="O1059" s="14" t="n">
        <v>3600.39</v>
      </c>
      <c r="P1059" s="4">
        <f>IF(O1059="","",IF(F1059&gt;O1059,"Above","Below"))</f>
        <v/>
      </c>
      <c r="Q1059" s="16" t="n">
        <v>207700</v>
      </c>
      <c r="R1059" s="17" t="n">
        <v>0</v>
      </c>
      <c r="S1059" s="17" t="n">
        <v>0</v>
      </c>
      <c r="T1059" s="17" t="n">
        <v>0</v>
      </c>
      <c r="U1059" s="18" t="n">
        <v>0</v>
      </c>
    </row>
    <row r="1060">
      <c r="A1060" s="13" t="n">
        <v>46007</v>
      </c>
      <c r="B1060" s="4">
        <f>TEXT(A1060,"ddd")</f>
        <v/>
      </c>
      <c r="C1060" s="14" t="n">
        <v>4334.3</v>
      </c>
      <c r="D1060" s="14" t="n">
        <v>4367.9</v>
      </c>
      <c r="E1060" s="14" t="n">
        <v>4297.4</v>
      </c>
      <c r="F1060" s="14" t="n">
        <v>4332.3</v>
      </c>
      <c r="G1060" s="9">
        <f>F1060-F1059</f>
        <v/>
      </c>
      <c r="H1060" s="10">
        <f>IF(F1059=0,0,G1060/F1059)</f>
        <v/>
      </c>
      <c r="I1060" s="8">
        <f>D1060-E1060</f>
        <v/>
      </c>
      <c r="J1060" s="4">
        <f>IF(F1060&gt;C1060,"Up",IF(F1060&lt;C1060,"Down","Flat"))</f>
        <v/>
      </c>
      <c r="K1060" s="14" t="n">
        <v>78.17</v>
      </c>
      <c r="L1060" s="15" t="n">
        <v>67.22</v>
      </c>
      <c r="M1060" s="14" t="n">
        <v>4226.14</v>
      </c>
      <c r="N1060" s="14" t="n">
        <v>4101.58</v>
      </c>
      <c r="O1060" s="14" t="n">
        <v>3607.67</v>
      </c>
      <c r="P1060" s="4">
        <f>IF(O1060="","",IF(F1060&gt;O1060,"Above","Below"))</f>
        <v/>
      </c>
      <c r="Q1060" s="16" t="n">
        <v>212277</v>
      </c>
      <c r="R1060" s="17" t="n">
        <v>0</v>
      </c>
      <c r="S1060" s="17" t="n">
        <v>0</v>
      </c>
      <c r="T1060" s="17" t="n">
        <v>0</v>
      </c>
      <c r="U1060" s="18" t="n">
        <v>0</v>
      </c>
    </row>
    <row r="1061">
      <c r="A1061" s="13" t="n">
        <v>46008</v>
      </c>
      <c r="B1061" s="4">
        <f>TEXT(A1061,"ddd")</f>
        <v/>
      </c>
      <c r="C1061" s="14" t="n">
        <v>4333.5</v>
      </c>
      <c r="D1061" s="14" t="n">
        <v>4383.6</v>
      </c>
      <c r="E1061" s="14" t="n">
        <v>4330.7</v>
      </c>
      <c r="F1061" s="14" t="n">
        <v>4373.9</v>
      </c>
      <c r="G1061" s="9">
        <f>F1061-F1060</f>
        <v/>
      </c>
      <c r="H1061" s="10">
        <f>IF(F1060=0,0,G1061/F1060)</f>
        <v/>
      </c>
      <c r="I1061" s="8">
        <f>D1061-E1061</f>
        <v/>
      </c>
      <c r="J1061" s="4">
        <f>IF(F1061&gt;C1061,"Up",IF(F1061&lt;C1061,"Down","Flat"))</f>
        <v/>
      </c>
      <c r="K1061" s="14" t="n">
        <v>76.37</v>
      </c>
      <c r="L1061" s="15" t="n">
        <v>70.34999999999999</v>
      </c>
      <c r="M1061" s="14" t="n">
        <v>4240.21</v>
      </c>
      <c r="N1061" s="14" t="n">
        <v>4112.26</v>
      </c>
      <c r="O1061" s="14" t="n">
        <v>3615.3</v>
      </c>
      <c r="P1061" s="4">
        <f>IF(O1061="","",IF(F1061&gt;O1061,"Above","Below"))</f>
        <v/>
      </c>
      <c r="Q1061" s="16" t="n">
        <v>212413</v>
      </c>
      <c r="R1061" s="17" t="n">
        <v>0</v>
      </c>
      <c r="S1061" s="17" t="n">
        <v>0</v>
      </c>
      <c r="T1061" s="17" t="n">
        <v>0</v>
      </c>
      <c r="U1061" s="18" t="n">
        <v>0</v>
      </c>
    </row>
    <row r="1062">
      <c r="A1062" s="13" t="n">
        <v>46009</v>
      </c>
      <c r="B1062" s="4">
        <f>TEXT(A1062,"ddd")</f>
        <v/>
      </c>
      <c r="C1062" s="14" t="n">
        <v>4371.5</v>
      </c>
      <c r="D1062" s="14" t="n">
        <v>4409.5</v>
      </c>
      <c r="E1062" s="14" t="n">
        <v>4338</v>
      </c>
      <c r="F1062" s="14" t="n">
        <v>4364.5</v>
      </c>
      <c r="G1062" s="9">
        <f>F1062-F1061</f>
        <v/>
      </c>
      <c r="H1062" s="10">
        <f>IF(F1061=0,0,G1062/F1061)</f>
        <v/>
      </c>
      <c r="I1062" s="8">
        <f>D1062-E1062</f>
        <v/>
      </c>
      <c r="J1062" s="4">
        <f>IF(F1062&gt;C1062,"Up",IF(F1062&lt;C1062,"Down","Flat"))</f>
        <v/>
      </c>
      <c r="K1062" s="14" t="n">
        <v>76.02</v>
      </c>
      <c r="L1062" s="15" t="n">
        <v>68.75</v>
      </c>
      <c r="M1062" s="14" t="n">
        <v>4252.05</v>
      </c>
      <c r="N1062" s="14" t="n">
        <v>4122.15</v>
      </c>
      <c r="O1062" s="14" t="n">
        <v>3622.75</v>
      </c>
      <c r="P1062" s="4">
        <f>IF(O1062="","",IF(F1062&gt;O1062,"Above","Below"))</f>
        <v/>
      </c>
      <c r="Q1062" s="16" t="n">
        <v>234460</v>
      </c>
      <c r="R1062" s="17" t="n">
        <v>0</v>
      </c>
      <c r="S1062" s="17" t="n">
        <v>0</v>
      </c>
      <c r="T1062" s="17" t="n">
        <v>0</v>
      </c>
      <c r="U1062" s="18" t="n">
        <v>0</v>
      </c>
    </row>
    <row r="1063">
      <c r="A1063" s="13" t="n">
        <v>46010</v>
      </c>
      <c r="B1063" s="4">
        <f>TEXT(A1063,"ddd")</f>
        <v/>
      </c>
      <c r="C1063" s="14" t="n">
        <v>4363.6</v>
      </c>
      <c r="D1063" s="14" t="n">
        <v>4389</v>
      </c>
      <c r="E1063" s="14" t="n">
        <v>4336.3</v>
      </c>
      <c r="F1063" s="14" t="n">
        <v>4387.3</v>
      </c>
      <c r="G1063" s="9">
        <f>F1063-F1062</f>
        <v/>
      </c>
      <c r="H1063" s="10">
        <f>IF(F1062=0,0,G1063/F1062)</f>
        <v/>
      </c>
      <c r="I1063" s="8">
        <f>D1063-E1063</f>
        <v/>
      </c>
      <c r="J1063" s="4">
        <f>IF(F1063&gt;C1063,"Up",IF(F1063&lt;C1063,"Down","Flat"))</f>
        <v/>
      </c>
      <c r="K1063" s="14" t="n">
        <v>74.34999999999999</v>
      </c>
      <c r="L1063" s="15" t="n">
        <v>70.5</v>
      </c>
      <c r="M1063" s="14" t="n">
        <v>4264.93</v>
      </c>
      <c r="N1063" s="14" t="n">
        <v>4132.55</v>
      </c>
      <c r="O1063" s="14" t="n">
        <v>3630.36</v>
      </c>
      <c r="P1063" s="4">
        <f>IF(O1063="","",IF(F1063&gt;O1063,"Above","Below"))</f>
        <v/>
      </c>
      <c r="Q1063" s="16" t="n">
        <v>165214</v>
      </c>
      <c r="R1063" s="17" t="n">
        <v>0</v>
      </c>
      <c r="S1063" s="17" t="n">
        <v>0</v>
      </c>
      <c r="T1063" s="17" t="n">
        <v>0</v>
      </c>
      <c r="U1063" s="18" t="n">
        <v>0</v>
      </c>
    </row>
    <row r="1064">
      <c r="A1064" s="13" t="n">
        <v>46013</v>
      </c>
      <c r="B1064" s="4">
        <f>TEXT(A1064,"ddd")</f>
        <v/>
      </c>
      <c r="C1064" s="14" t="n">
        <v>4369.9</v>
      </c>
      <c r="D1064" s="14" t="n">
        <v>4484.5</v>
      </c>
      <c r="E1064" s="14" t="n">
        <v>4367.9</v>
      </c>
      <c r="F1064" s="14" t="n">
        <v>4469.4</v>
      </c>
      <c r="G1064" s="9">
        <f>F1064-F1063</f>
        <v/>
      </c>
      <c r="H1064" s="10">
        <f>IF(F1063=0,0,G1064/F1063)</f>
        <v/>
      </c>
      <c r="I1064" s="8">
        <f>D1064-E1064</f>
        <v/>
      </c>
      <c r="J1064" s="4">
        <f>IF(F1064&gt;C1064,"Up",IF(F1064&lt;C1064,"Down","Flat"))</f>
        <v/>
      </c>
      <c r="K1064" s="14" t="n">
        <v>77.37</v>
      </c>
      <c r="L1064" s="15" t="n">
        <v>75.76000000000001</v>
      </c>
      <c r="M1064" s="14" t="n">
        <v>4284.4</v>
      </c>
      <c r="N1064" s="14" t="n">
        <v>4145.76</v>
      </c>
      <c r="O1064" s="14" t="n">
        <v>3638.71</v>
      </c>
      <c r="P1064" s="4">
        <f>IF(O1064="","",IF(F1064&gt;O1064,"Above","Below"))</f>
        <v/>
      </c>
      <c r="Q1064" s="16" t="n">
        <v>203043</v>
      </c>
      <c r="R1064" s="17" t="n">
        <v>0</v>
      </c>
      <c r="S1064" s="17" t="n">
        <v>0</v>
      </c>
      <c r="T1064" s="17" t="n">
        <v>0</v>
      </c>
      <c r="U1064" s="18" t="n">
        <v>0</v>
      </c>
    </row>
    <row r="1065">
      <c r="A1065" s="13" t="n">
        <v>46014</v>
      </c>
      <c r="B1065" s="4">
        <f>TEXT(A1065,"ddd")</f>
        <v/>
      </c>
      <c r="C1065" s="14" t="n">
        <v>4481.8</v>
      </c>
      <c r="D1065" s="14" t="n">
        <v>4530.8</v>
      </c>
      <c r="E1065" s="14" t="n">
        <v>4457.7</v>
      </c>
      <c r="F1065" s="14" t="n">
        <v>4505.7</v>
      </c>
      <c r="G1065" s="9">
        <f>F1065-F1064</f>
        <v/>
      </c>
      <c r="H1065" s="10">
        <f>IF(F1064=0,0,G1065/F1064)</f>
        <v/>
      </c>
      <c r="I1065" s="8">
        <f>D1065-E1065</f>
        <v/>
      </c>
      <c r="J1065" s="4">
        <f>IF(F1065&gt;C1065,"Up",IF(F1065&lt;C1065,"Down","Flat"))</f>
        <v/>
      </c>
      <c r="K1065" s="14" t="n">
        <v>77.06999999999999</v>
      </c>
      <c r="L1065" s="15" t="n">
        <v>77.66</v>
      </c>
      <c r="M1065" s="14" t="n">
        <v>4305.48</v>
      </c>
      <c r="N1065" s="14" t="n">
        <v>4159.87</v>
      </c>
      <c r="O1065" s="14" t="n">
        <v>3647.33</v>
      </c>
      <c r="P1065" s="4">
        <f>IF(O1065="","",IF(F1065&gt;O1065,"Above","Below"))</f>
        <v/>
      </c>
      <c r="Q1065" s="16" t="n">
        <v>248418</v>
      </c>
      <c r="R1065" s="17" t="n">
        <v>0</v>
      </c>
      <c r="S1065" s="17" t="n">
        <v>0</v>
      </c>
      <c r="T1065" s="17" t="n">
        <v>0</v>
      </c>
      <c r="U1065" s="18" t="n">
        <v>0</v>
      </c>
    </row>
    <row r="1066">
      <c r="A1066" s="13" t="n">
        <v>46015</v>
      </c>
      <c r="B1066" s="4">
        <f>TEXT(A1066,"ddd")</f>
        <v/>
      </c>
      <c r="C1066" s="14" t="n">
        <v>4516.7</v>
      </c>
      <c r="D1066" s="14" t="n">
        <v>4555.1</v>
      </c>
      <c r="E1066" s="14" t="n">
        <v>4474.3</v>
      </c>
      <c r="F1066" s="14" t="n">
        <v>4502.8</v>
      </c>
      <c r="G1066" s="9">
        <f>F1066-F1065</f>
        <v/>
      </c>
      <c r="H1066" s="10">
        <f>IF(F1065=0,0,G1066/F1065)</f>
        <v/>
      </c>
      <c r="I1066" s="8">
        <f>D1066-E1066</f>
        <v/>
      </c>
      <c r="J1066" s="4">
        <f>IF(F1066&gt;C1066,"Up",IF(F1066&lt;C1066,"Down","Flat"))</f>
        <v/>
      </c>
      <c r="K1066" s="14" t="n">
        <v>77.33</v>
      </c>
      <c r="L1066" s="15" t="n">
        <v>77.14</v>
      </c>
      <c r="M1066" s="14" t="n">
        <v>4324.27</v>
      </c>
      <c r="N1066" s="14" t="n">
        <v>4173.32</v>
      </c>
      <c r="O1066" s="14" t="n">
        <v>3655.85</v>
      </c>
      <c r="P1066" s="4">
        <f>IF(O1066="","",IF(F1066&gt;O1066,"Above","Below"))</f>
        <v/>
      </c>
      <c r="Q1066" s="16" t="n">
        <v>151576</v>
      </c>
      <c r="R1066" s="17" t="n">
        <v>0</v>
      </c>
      <c r="S1066" s="17" t="n">
        <v>0</v>
      </c>
      <c r="T1066" s="17" t="n">
        <v>0</v>
      </c>
      <c r="U1066" s="18" t="n">
        <v>0</v>
      </c>
    </row>
    <row r="1067">
      <c r="A1067" s="13" t="n">
        <v>46017</v>
      </c>
      <c r="B1067" s="4">
        <f>TEXT(A1067,"ddd")</f>
        <v/>
      </c>
      <c r="C1067" s="14" t="n">
        <v>4523.5</v>
      </c>
      <c r="D1067" s="14" t="n">
        <v>4584</v>
      </c>
      <c r="E1067" s="14" t="n">
        <v>4518</v>
      </c>
      <c r="F1067" s="14" t="n">
        <v>4552.7</v>
      </c>
      <c r="G1067" s="9">
        <f>F1067-F1066</f>
        <v/>
      </c>
      <c r="H1067" s="10">
        <f>IF(F1066=0,0,G1067/F1066)</f>
        <v/>
      </c>
      <c r="I1067" s="8">
        <f>D1067-E1067</f>
        <v/>
      </c>
      <c r="J1067" s="4">
        <f>IF(F1067&gt;C1067,"Up",IF(F1067&lt;C1067,"Down","Flat"))</f>
        <v/>
      </c>
      <c r="K1067" s="14" t="n">
        <v>77.61</v>
      </c>
      <c r="L1067" s="15" t="n">
        <v>79.66</v>
      </c>
      <c r="M1067" s="14" t="n">
        <v>4346.03</v>
      </c>
      <c r="N1067" s="14" t="n">
        <v>4188.2</v>
      </c>
      <c r="O1067" s="14" t="n">
        <v>3664.77</v>
      </c>
      <c r="P1067" s="4">
        <f>IF(O1067="","",IF(F1067&gt;O1067,"Above","Below"))</f>
        <v/>
      </c>
      <c r="Q1067" s="16" t="n">
        <v>181246</v>
      </c>
      <c r="R1067" s="17" t="n">
        <v>0</v>
      </c>
      <c r="S1067" s="17" t="n">
        <v>0</v>
      </c>
      <c r="T1067" s="17" t="n">
        <v>0</v>
      </c>
      <c r="U1067" s="18" t="n">
        <v>0</v>
      </c>
    </row>
    <row r="1068">
      <c r="A1068" s="13" t="n">
        <v>46020</v>
      </c>
      <c r="B1068" s="4">
        <f>TEXT(A1068,"ddd")</f>
        <v/>
      </c>
      <c r="C1068" s="14" t="n">
        <v>4568</v>
      </c>
      <c r="D1068" s="14" t="n">
        <v>4581.3</v>
      </c>
      <c r="E1068" s="14" t="n">
        <v>4316</v>
      </c>
      <c r="F1068" s="14" t="n">
        <v>4343.6</v>
      </c>
      <c r="G1068" s="9">
        <f>F1068-F1067</f>
        <v/>
      </c>
      <c r="H1068" s="10">
        <f>IF(F1067=0,0,G1068/F1067)</f>
        <v/>
      </c>
      <c r="I1068" s="8">
        <f>D1068-E1068</f>
        <v/>
      </c>
      <c r="J1068" s="4">
        <f>IF(F1068&gt;C1068,"Up",IF(F1068&lt;C1068,"Down","Flat"))</f>
        <v/>
      </c>
      <c r="K1068" s="14" t="n">
        <v>91.02</v>
      </c>
      <c r="L1068" s="15" t="n">
        <v>53.19</v>
      </c>
      <c r="M1068" s="14" t="n">
        <v>4345.8</v>
      </c>
      <c r="N1068" s="14" t="n">
        <v>4194.29</v>
      </c>
      <c r="O1068" s="14" t="n">
        <v>3671.52</v>
      </c>
      <c r="P1068" s="4">
        <f>IF(O1068="","",IF(F1068&gt;O1068,"Above","Below"))</f>
        <v/>
      </c>
      <c r="Q1068" s="16" t="n">
        <v>316961</v>
      </c>
      <c r="R1068" s="17" t="n">
        <v>0</v>
      </c>
      <c r="S1068" s="17" t="n">
        <v>0</v>
      </c>
      <c r="T1068" s="17" t="n">
        <v>0</v>
      </c>
      <c r="U1068" s="18" t="n">
        <v>0</v>
      </c>
    </row>
    <row r="1069">
      <c r="A1069" s="13" t="n">
        <v>46021</v>
      </c>
      <c r="B1069" s="4">
        <f>TEXT(A1069,"ddd")</f>
        <v/>
      </c>
      <c r="C1069" s="14" t="n">
        <v>4350.3</v>
      </c>
      <c r="D1069" s="14" t="n">
        <v>4420.5</v>
      </c>
      <c r="E1069" s="14" t="n">
        <v>4338.8</v>
      </c>
      <c r="F1069" s="14" t="n">
        <v>4386.3</v>
      </c>
      <c r="G1069" s="9">
        <f>F1069-F1068</f>
        <v/>
      </c>
      <c r="H1069" s="10">
        <f>IF(F1068=0,0,G1069/F1068)</f>
        <v/>
      </c>
      <c r="I1069" s="8">
        <f>D1069-E1069</f>
        <v/>
      </c>
      <c r="J1069" s="4">
        <f>IF(F1069&gt;C1069,"Up",IF(F1069&lt;C1069,"Down","Flat"))</f>
        <v/>
      </c>
      <c r="K1069" s="14" t="n">
        <v>90.34999999999999</v>
      </c>
      <c r="L1069" s="15" t="n">
        <v>56.38</v>
      </c>
      <c r="M1069" s="14" t="n">
        <v>4349.65</v>
      </c>
      <c r="N1069" s="14" t="n">
        <v>4201.82</v>
      </c>
      <c r="O1069" s="14" t="n">
        <v>3678.64</v>
      </c>
      <c r="P1069" s="4">
        <f>IF(O1069="","",IF(F1069&gt;O1069,"Above","Below"))</f>
        <v/>
      </c>
      <c r="Q1069" s="16" t="n">
        <v>189751</v>
      </c>
      <c r="R1069" s="17" t="n">
        <v>0</v>
      </c>
      <c r="S1069" s="17" t="n">
        <v>0</v>
      </c>
      <c r="T1069" s="17" t="n">
        <v>0</v>
      </c>
      <c r="U1069" s="18" t="n">
        <v>0</v>
      </c>
    </row>
    <row r="1070">
      <c r="A1070" s="13" t="n">
        <v>46022</v>
      </c>
      <c r="B1070" s="4">
        <f>TEXT(A1070,"ddd")</f>
        <v/>
      </c>
      <c r="C1070" s="14" t="n">
        <v>4353</v>
      </c>
      <c r="D1070" s="14" t="n">
        <v>4384.9</v>
      </c>
      <c r="E1070" s="14" t="n">
        <v>4284.3</v>
      </c>
      <c r="F1070" s="14" t="n">
        <v>4341.1</v>
      </c>
      <c r="G1070" s="9">
        <f>F1070-F1069</f>
        <v/>
      </c>
      <c r="H1070" s="10">
        <f>IF(F1069=0,0,G1070/F1069)</f>
        <v/>
      </c>
      <c r="I1070" s="8">
        <f>D1070-E1070</f>
        <v/>
      </c>
      <c r="J1070" s="4">
        <f>IF(F1070&gt;C1070,"Up",IF(F1070&lt;C1070,"Down","Flat"))</f>
        <v/>
      </c>
      <c r="K1070" s="14" t="n">
        <v>91.18000000000001</v>
      </c>
      <c r="L1070" s="15" t="n">
        <v>52.31</v>
      </c>
      <c r="M1070" s="14" t="n">
        <v>4348.84</v>
      </c>
      <c r="N1070" s="14" t="n">
        <v>4207.28</v>
      </c>
      <c r="O1070" s="14" t="n">
        <v>3685.23</v>
      </c>
      <c r="P1070" s="4">
        <f>IF(O1070="","",IF(F1070&gt;O1070,"Above","Below"))</f>
        <v/>
      </c>
      <c r="Q1070" s="16" t="n">
        <v>161782</v>
      </c>
      <c r="R1070" s="17" t="n">
        <v>0</v>
      </c>
      <c r="S1070" s="17" t="n">
        <v>0</v>
      </c>
      <c r="T1070" s="17" t="n">
        <v>0</v>
      </c>
      <c r="U1070" s="18" t="n">
        <v>0</v>
      </c>
    </row>
    <row r="1071">
      <c r="A1071" s="13" t="n">
        <v>46024</v>
      </c>
      <c r="B1071" s="4">
        <f>TEXT(A1071,"ddd")</f>
        <v/>
      </c>
      <c r="C1071" s="14" t="n">
        <v>4340</v>
      </c>
      <c r="D1071" s="14" t="n">
        <v>4414.8</v>
      </c>
      <c r="E1071" s="14" t="n">
        <v>4319.7</v>
      </c>
      <c r="F1071" s="14" t="n">
        <v>4329.6</v>
      </c>
      <c r="G1071" s="9">
        <f>F1071-F1070</f>
        <v/>
      </c>
      <c r="H1071" s="10">
        <f>IF(F1070=0,0,G1071/F1070)</f>
        <v/>
      </c>
      <c r="I1071" s="8">
        <f>D1071-E1071</f>
        <v/>
      </c>
      <c r="J1071" s="4">
        <f>IF(F1071&gt;C1071,"Up",IF(F1071&lt;C1071,"Down","Flat"))</f>
        <v/>
      </c>
      <c r="K1071" s="14" t="n">
        <v>91.45999999999999</v>
      </c>
      <c r="L1071" s="15" t="n">
        <v>51.3</v>
      </c>
      <c r="M1071" s="14" t="n">
        <v>4347.01</v>
      </c>
      <c r="N1071" s="14" t="n">
        <v>4212.08</v>
      </c>
      <c r="O1071" s="14" t="n">
        <v>3691.64</v>
      </c>
      <c r="P1071" s="4">
        <f>IF(O1071="","",IF(F1071&gt;O1071,"Above","Below"))</f>
        <v/>
      </c>
      <c r="Q1071" s="16" t="n">
        <v>154807</v>
      </c>
      <c r="R1071" s="17" t="n">
        <v>0</v>
      </c>
      <c r="S1071" s="17" t="n">
        <v>0</v>
      </c>
      <c r="T1071" s="17" t="n">
        <v>0</v>
      </c>
      <c r="U1071" s="18" t="n">
        <v>0</v>
      </c>
    </row>
    <row r="1072">
      <c r="A1072" s="13" t="n">
        <v>46027</v>
      </c>
      <c r="B1072" s="4">
        <f>TEXT(A1072,"ddd")</f>
        <v/>
      </c>
      <c r="C1072" s="14" t="n">
        <v>4368.3</v>
      </c>
      <c r="D1072" s="14" t="n">
        <v>4467.6</v>
      </c>
      <c r="E1072" s="14" t="n">
        <v>4354.6</v>
      </c>
      <c r="F1072" s="14" t="n">
        <v>4451.5</v>
      </c>
      <c r="G1072" s="9">
        <f>F1072-F1071</f>
        <v/>
      </c>
      <c r="H1072" s="10">
        <f>IF(F1071=0,0,G1072/F1071)</f>
        <v/>
      </c>
      <c r="I1072" s="8">
        <f>D1072-E1072</f>
        <v/>
      </c>
      <c r="J1072" s="4">
        <f>IF(F1072&gt;C1072,"Up",IF(F1072&lt;C1072,"Down","Flat"))</f>
        <v/>
      </c>
      <c r="K1072" s="14" t="n">
        <v>94.79000000000001</v>
      </c>
      <c r="L1072" s="15" t="n">
        <v>60.12</v>
      </c>
      <c r="M1072" s="14" t="n">
        <v>4356.96</v>
      </c>
      <c r="N1072" s="14" t="n">
        <v>4221.47</v>
      </c>
      <c r="O1072" s="14" t="n">
        <v>3699.2</v>
      </c>
      <c r="P1072" s="4">
        <f>IF(O1072="","",IF(F1072&gt;O1072,"Above","Below"))</f>
        <v/>
      </c>
      <c r="Q1072" s="16" t="n">
        <v>211711</v>
      </c>
      <c r="R1072" s="17" t="n">
        <v>0</v>
      </c>
      <c r="S1072" s="17" t="n">
        <v>0</v>
      </c>
      <c r="T1072" s="17" t="n">
        <v>0</v>
      </c>
      <c r="U1072" s="18" t="n">
        <v>0</v>
      </c>
    </row>
    <row r="1073">
      <c r="A1073" s="13" t="n">
        <v>46028</v>
      </c>
      <c r="B1073" s="4">
        <f>TEXT(A1073,"ddd")</f>
        <v/>
      </c>
      <c r="C1073" s="14" t="n">
        <v>4459.8</v>
      </c>
      <c r="D1073" s="14" t="n">
        <v>4508.3</v>
      </c>
      <c r="E1073" s="14" t="n">
        <v>4437.9</v>
      </c>
      <c r="F1073" s="14" t="n">
        <v>4496.1</v>
      </c>
      <c r="G1073" s="9">
        <f>F1073-F1072</f>
        <v/>
      </c>
      <c r="H1073" s="10">
        <f>IF(F1072=0,0,G1073/F1072)</f>
        <v/>
      </c>
      <c r="I1073" s="8">
        <f>D1073-E1073</f>
        <v/>
      </c>
      <c r="J1073" s="4">
        <f>IF(F1073&gt;C1073,"Up",IF(F1073&lt;C1073,"Down","Flat"))</f>
        <v/>
      </c>
      <c r="K1073" s="14" t="n">
        <v>93.04000000000001</v>
      </c>
      <c r="L1073" s="15" t="n">
        <v>62.77</v>
      </c>
      <c r="M1073" s="14" t="n">
        <v>4370.21</v>
      </c>
      <c r="N1073" s="14" t="n">
        <v>4232.24</v>
      </c>
      <c r="O1073" s="14" t="n">
        <v>3707.13</v>
      </c>
      <c r="P1073" s="4">
        <f>IF(O1073="","",IF(F1073&gt;O1073,"Above","Below"))</f>
        <v/>
      </c>
      <c r="Q1073" s="16" t="n">
        <v>176584</v>
      </c>
      <c r="R1073" s="17" t="n">
        <v>0</v>
      </c>
      <c r="S1073" s="17" t="n">
        <v>0</v>
      </c>
      <c r="T1073" s="17" t="n">
        <v>0</v>
      </c>
      <c r="U1073" s="18" t="n">
        <v>0</v>
      </c>
    </row>
    <row r="1074">
      <c r="A1074" s="13" t="n">
        <v>46029</v>
      </c>
      <c r="B1074" s="4">
        <f>TEXT(A1074,"ddd")</f>
        <v/>
      </c>
      <c r="C1074" s="14" t="n">
        <v>4505.4</v>
      </c>
      <c r="D1074" s="14" t="n">
        <v>4512.4</v>
      </c>
      <c r="E1074" s="14" t="n">
        <v>4432.9</v>
      </c>
      <c r="F1074" s="14" t="n">
        <v>4462.5</v>
      </c>
      <c r="G1074" s="9">
        <f>F1074-F1073</f>
        <v/>
      </c>
      <c r="H1074" s="10">
        <f>IF(F1073=0,0,G1074/F1073)</f>
        <v/>
      </c>
      <c r="I1074" s="8">
        <f>D1074-E1074</f>
        <v/>
      </c>
      <c r="J1074" s="4">
        <f>IF(F1074&gt;C1074,"Up",IF(F1074&lt;C1074,"Down","Flat"))</f>
        <v/>
      </c>
      <c r="K1074" s="14" t="n">
        <v>92.08</v>
      </c>
      <c r="L1074" s="15" t="n">
        <v>59.55</v>
      </c>
      <c r="M1074" s="14" t="n">
        <v>4379</v>
      </c>
      <c r="N1074" s="14" t="n">
        <v>4241.27</v>
      </c>
      <c r="O1074" s="14" t="n">
        <v>3714.65</v>
      </c>
      <c r="P1074" s="4">
        <f>IF(O1074="","",IF(F1074&gt;O1074,"Above","Below"))</f>
        <v/>
      </c>
      <c r="Q1074" s="16" t="n">
        <v>202783</v>
      </c>
      <c r="R1074" s="17" t="n">
        <v>0</v>
      </c>
      <c r="S1074" s="17" t="n">
        <v>0</v>
      </c>
      <c r="T1074" s="17" t="n">
        <v>0</v>
      </c>
      <c r="U1074" s="18" t="n">
        <v>0</v>
      </c>
    </row>
    <row r="1075">
      <c r="A1075" s="13" t="n">
        <v>46030</v>
      </c>
      <c r="B1075" s="4">
        <f>TEXT(A1075,"ddd")</f>
        <v/>
      </c>
      <c r="C1075" s="14" t="n">
        <v>4467.1</v>
      </c>
      <c r="D1075" s="14" t="n">
        <v>4489.3</v>
      </c>
      <c r="E1075" s="14" t="n">
        <v>4415</v>
      </c>
      <c r="F1075" s="14" t="n">
        <v>4460.7</v>
      </c>
      <c r="G1075" s="9">
        <f>F1075-F1074</f>
        <v/>
      </c>
      <c r="H1075" s="10">
        <f>IF(F1074=0,0,G1075/F1074)</f>
        <v/>
      </c>
      <c r="I1075" s="8">
        <f>D1075-E1075</f>
        <v/>
      </c>
      <c r="J1075" s="4">
        <f>IF(F1075&gt;C1075,"Up",IF(F1075&lt;C1075,"Down","Flat"))</f>
        <v/>
      </c>
      <c r="K1075" s="14" t="n">
        <v>90.81</v>
      </c>
      <c r="L1075" s="15" t="n">
        <v>59.38</v>
      </c>
      <c r="M1075" s="14" t="n">
        <v>4386.78</v>
      </c>
      <c r="N1075" s="14" t="n">
        <v>4249.88</v>
      </c>
      <c r="O1075" s="14" t="n">
        <v>3722.07</v>
      </c>
      <c r="P1075" s="4">
        <f>IF(O1075="","",IF(F1075&gt;O1075,"Above","Below"))</f>
        <v/>
      </c>
      <c r="Q1075" s="16" t="n">
        <v>208958</v>
      </c>
      <c r="R1075" s="17" t="n">
        <v>0</v>
      </c>
      <c r="S1075" s="17" t="n">
        <v>0</v>
      </c>
      <c r="T1075" s="17" t="n">
        <v>0</v>
      </c>
      <c r="U1075" s="18" t="n">
        <v>0</v>
      </c>
    </row>
    <row r="1076">
      <c r="A1076" s="13" t="n">
        <v>46031</v>
      </c>
      <c r="B1076" s="4">
        <f>TEXT(A1076,"ddd")</f>
        <v/>
      </c>
      <c r="C1076" s="14" t="n">
        <v>4489.3</v>
      </c>
      <c r="D1076" s="14" t="n">
        <v>4527</v>
      </c>
      <c r="E1076" s="14" t="n">
        <v>4461.8</v>
      </c>
      <c r="F1076" s="14" t="n">
        <v>4500.9</v>
      </c>
      <c r="G1076" s="9">
        <f>F1076-F1075</f>
        <v/>
      </c>
      <c r="H1076" s="10">
        <f>IF(F1075=0,0,G1076/F1075)</f>
        <v/>
      </c>
      <c r="I1076" s="8">
        <f>D1076-E1076</f>
        <v/>
      </c>
      <c r="J1076" s="4">
        <f>IF(F1076&gt;C1076,"Up",IF(F1076&lt;C1076,"Down","Flat"))</f>
        <v/>
      </c>
      <c r="K1076" s="14" t="n">
        <v>89.06</v>
      </c>
      <c r="L1076" s="15" t="n">
        <v>62.07</v>
      </c>
      <c r="M1076" s="14" t="n">
        <v>4397.65</v>
      </c>
      <c r="N1076" s="14" t="n">
        <v>4259.72</v>
      </c>
      <c r="O1076" s="14" t="n">
        <v>3729.82</v>
      </c>
      <c r="P1076" s="4">
        <f>IF(O1076="","",IF(F1076&gt;O1076,"Above","Below"))</f>
        <v/>
      </c>
      <c r="Q1076" s="16" t="n">
        <v>217946</v>
      </c>
      <c r="R1076" s="17" t="n">
        <v>0</v>
      </c>
      <c r="S1076" s="17" t="n">
        <v>0</v>
      </c>
      <c r="T1076" s="17" t="n">
        <v>0</v>
      </c>
      <c r="U1076" s="18" t="n">
        <v>0</v>
      </c>
    </row>
    <row r="1077">
      <c r="A1077" s="13" t="n">
        <v>46034</v>
      </c>
      <c r="B1077" s="4">
        <f>TEXT(A1077,"ddd")</f>
        <v/>
      </c>
      <c r="C1077" s="14" t="n">
        <v>4529.1</v>
      </c>
      <c r="D1077" s="14" t="n">
        <v>4640.5</v>
      </c>
      <c r="E1077" s="14" t="n">
        <v>4520.8</v>
      </c>
      <c r="F1077" s="14" t="n">
        <v>4614.7</v>
      </c>
      <c r="G1077" s="9">
        <f>F1077-F1076</f>
        <v/>
      </c>
      <c r="H1077" s="10">
        <f>IF(F1076=0,0,G1077/F1076)</f>
        <v/>
      </c>
      <c r="I1077" s="8">
        <f>D1077-E1077</f>
        <v/>
      </c>
      <c r="J1077" s="4">
        <f>IF(F1077&gt;C1077,"Up",IF(F1077&lt;C1077,"Down","Flat"))</f>
        <v/>
      </c>
      <c r="K1077" s="14" t="n">
        <v>92.67</v>
      </c>
      <c r="L1077" s="15" t="n">
        <v>68.44</v>
      </c>
      <c r="M1077" s="14" t="n">
        <v>4418.32</v>
      </c>
      <c r="N1077" s="14" t="n">
        <v>4273.64</v>
      </c>
      <c r="O1077" s="14" t="n">
        <v>3738.62</v>
      </c>
      <c r="P1077" s="4">
        <f>IF(O1077="","",IF(F1077&gt;O1077,"Above","Below"))</f>
        <v/>
      </c>
      <c r="Q1077" s="16" t="n">
        <v>307991</v>
      </c>
      <c r="R1077" s="17" t="n">
        <v>0</v>
      </c>
      <c r="S1077" s="17" t="n">
        <v>0</v>
      </c>
      <c r="T1077" s="17" t="n">
        <v>0</v>
      </c>
      <c r="U1077" s="18" t="n">
        <v>0</v>
      </c>
    </row>
    <row r="1078">
      <c r="A1078" s="13" t="n">
        <v>46035</v>
      </c>
      <c r="B1078" s="4">
        <f>TEXT(A1078,"ddd")</f>
        <v/>
      </c>
      <c r="C1078" s="14" t="n">
        <v>4610</v>
      </c>
      <c r="D1078" s="14" t="n">
        <v>4644</v>
      </c>
      <c r="E1078" s="14" t="n">
        <v>4576.7</v>
      </c>
      <c r="F1078" s="14" t="n">
        <v>4599.1</v>
      </c>
      <c r="G1078" s="9">
        <f>F1078-F1077</f>
        <v/>
      </c>
      <c r="H1078" s="10">
        <f>IF(F1077=0,0,G1078/F1077)</f>
        <v/>
      </c>
      <c r="I1078" s="8">
        <f>D1078-E1078</f>
        <v/>
      </c>
      <c r="J1078" s="4">
        <f>IF(F1078&gt;C1078,"Up",IF(F1078&lt;C1078,"Down","Flat"))</f>
        <v/>
      </c>
      <c r="K1078" s="14" t="n">
        <v>90.84999999999999</v>
      </c>
      <c r="L1078" s="15" t="n">
        <v>66.78</v>
      </c>
      <c r="M1078" s="14" t="n">
        <v>4435.54</v>
      </c>
      <c r="N1078" s="14" t="n">
        <v>4286.4</v>
      </c>
      <c r="O1078" s="14" t="n">
        <v>3747.19</v>
      </c>
      <c r="P1078" s="4">
        <f>IF(O1078="","",IF(F1078&gt;O1078,"Above","Below"))</f>
        <v/>
      </c>
      <c r="Q1078" s="16" t="n">
        <v>267451</v>
      </c>
      <c r="R1078" s="17" t="n">
        <v>0</v>
      </c>
      <c r="S1078" s="17" t="n">
        <v>0</v>
      </c>
      <c r="T1078" s="17" t="n">
        <v>0</v>
      </c>
      <c r="U1078" s="18" t="n">
        <v>0</v>
      </c>
    </row>
    <row r="1079">
      <c r="A1079" s="13" t="n">
        <v>46036</v>
      </c>
      <c r="B1079" s="4">
        <f>TEXT(A1079,"ddd")</f>
        <v/>
      </c>
      <c r="C1079" s="14" t="n">
        <v>4594.3</v>
      </c>
      <c r="D1079" s="14" t="n">
        <v>4650.5</v>
      </c>
      <c r="E1079" s="14" t="n">
        <v>4594.3</v>
      </c>
      <c r="F1079" s="14" t="n">
        <v>4635.7</v>
      </c>
      <c r="G1079" s="9">
        <f>F1079-F1078</f>
        <v/>
      </c>
      <c r="H1079" s="10">
        <f>IF(F1078=0,0,G1079/F1078)</f>
        <v/>
      </c>
      <c r="I1079" s="8">
        <f>D1079-E1079</f>
        <v/>
      </c>
      <c r="J1079" s="4">
        <f>IF(F1079&gt;C1079,"Up",IF(F1079&lt;C1079,"Down","Flat"))</f>
        <v/>
      </c>
      <c r="K1079" s="14" t="n">
        <v>88.38</v>
      </c>
      <c r="L1079" s="15" t="n">
        <v>68.69</v>
      </c>
      <c r="M1079" s="14" t="n">
        <v>4454.6</v>
      </c>
      <c r="N1079" s="14" t="n">
        <v>4300.1</v>
      </c>
      <c r="O1079" s="14" t="n">
        <v>3756.03</v>
      </c>
      <c r="P1079" s="4">
        <f>IF(O1079="","",IF(F1079&gt;O1079,"Above","Below"))</f>
        <v/>
      </c>
      <c r="Q1079" s="16" t="n">
        <v>306299</v>
      </c>
      <c r="R1079" s="17" t="n">
        <v>0</v>
      </c>
      <c r="S1079" s="17" t="n">
        <v>0</v>
      </c>
      <c r="T1079" s="17" t="n">
        <v>0</v>
      </c>
      <c r="U1079" s="18" t="n">
        <v>0</v>
      </c>
    </row>
    <row r="1080">
      <c r="A1080" s="13" t="n">
        <v>46037</v>
      </c>
      <c r="B1080" s="4">
        <f>TEXT(A1080,"ddd")</f>
        <v/>
      </c>
      <c r="C1080" s="14" t="n">
        <v>4635.7</v>
      </c>
      <c r="D1080" s="14" t="n">
        <v>4637.2</v>
      </c>
      <c r="E1080" s="14" t="n">
        <v>4584</v>
      </c>
      <c r="F1080" s="14" t="n">
        <v>4623.7</v>
      </c>
      <c r="G1080" s="9">
        <f>F1080-F1079</f>
        <v/>
      </c>
      <c r="H1080" s="10">
        <f>IF(F1079=0,0,G1080/F1079)</f>
        <v/>
      </c>
      <c r="I1080" s="8">
        <f>D1080-E1080</f>
        <v/>
      </c>
      <c r="J1080" s="4">
        <f>IF(F1080&gt;C1080,"Up",IF(F1080&lt;C1080,"Down","Flat"))</f>
        <v/>
      </c>
      <c r="K1080" s="14" t="n">
        <v>85.87</v>
      </c>
      <c r="L1080" s="15" t="n">
        <v>67.33</v>
      </c>
      <c r="M1080" s="14" t="n">
        <v>4470.71</v>
      </c>
      <c r="N1080" s="14" t="n">
        <v>4312.79</v>
      </c>
      <c r="O1080" s="14" t="n">
        <v>3764.66</v>
      </c>
      <c r="P1080" s="4">
        <f>IF(O1080="","",IF(F1080&gt;O1080,"Above","Below"))</f>
        <v/>
      </c>
      <c r="Q1080" s="16" t="n">
        <v>226481</v>
      </c>
      <c r="R1080" s="17" t="n">
        <v>0</v>
      </c>
      <c r="S1080" s="17" t="n">
        <v>0</v>
      </c>
      <c r="T1080" s="17" t="n">
        <v>0</v>
      </c>
      <c r="U1080" s="18" t="n">
        <v>0</v>
      </c>
    </row>
    <row r="1081">
      <c r="A1081" s="13" t="n">
        <v>46038</v>
      </c>
      <c r="B1081" s="4">
        <f>TEXT(A1081,"ddd")</f>
        <v/>
      </c>
      <c r="C1081" s="14" t="n">
        <v>4621.6</v>
      </c>
      <c r="D1081" s="14" t="n">
        <v>4625.5</v>
      </c>
      <c r="E1081" s="14" t="n">
        <v>4539.1</v>
      </c>
      <c r="F1081" s="14" t="n">
        <v>4595.4</v>
      </c>
      <c r="G1081" s="9">
        <f>F1081-F1080</f>
        <v/>
      </c>
      <c r="H1081" s="10">
        <f>IF(F1080=0,0,G1081/F1080)</f>
        <v/>
      </c>
      <c r="I1081" s="8">
        <f>D1081-E1081</f>
        <v/>
      </c>
      <c r="J1081" s="4">
        <f>IF(F1081&gt;C1081,"Up",IF(F1081&lt;C1081,"Down","Flat"))</f>
        <v/>
      </c>
      <c r="K1081" s="14" t="n">
        <v>85.90000000000001</v>
      </c>
      <c r="L1081" s="15" t="n">
        <v>64.08</v>
      </c>
      <c r="M1081" s="14" t="n">
        <v>4482.58</v>
      </c>
      <c r="N1081" s="14" t="n">
        <v>4323.87</v>
      </c>
      <c r="O1081" s="14" t="n">
        <v>3772.93</v>
      </c>
      <c r="P1081" s="4">
        <f>IF(O1081="","",IF(F1081&gt;O1081,"Above","Below"))</f>
        <v/>
      </c>
      <c r="Q1081" s="16" t="n">
        <v>246155</v>
      </c>
      <c r="R1081" s="17" t="n">
        <v>0</v>
      </c>
      <c r="S1081" s="17" t="n">
        <v>0</v>
      </c>
      <c r="T1081" s="17" t="n">
        <v>0</v>
      </c>
      <c r="U1081" s="18" t="n">
        <v>0</v>
      </c>
    </row>
    <row r="1082">
      <c r="A1082" s="13" t="n">
        <v>46042</v>
      </c>
      <c r="B1082" s="4">
        <f>TEXT(A1082,"ddd")</f>
        <v/>
      </c>
      <c r="C1082" s="14" t="n">
        <v>4633.7</v>
      </c>
      <c r="D1082" s="14" t="n">
        <v>4771.5</v>
      </c>
      <c r="E1082" s="14" t="n">
        <v>4622.2</v>
      </c>
      <c r="F1082" s="14" t="n">
        <v>4765.8</v>
      </c>
      <c r="G1082" s="9">
        <f>F1082-F1081</f>
        <v/>
      </c>
      <c r="H1082" s="10">
        <f>IF(F1081=0,0,G1082/F1081)</f>
        <v/>
      </c>
      <c r="I1082" s="8">
        <f>D1082-E1082</f>
        <v/>
      </c>
      <c r="J1082" s="4">
        <f>IF(F1082&gt;C1082,"Up",IF(F1082&lt;C1082,"Down","Flat"))</f>
        <v/>
      </c>
      <c r="K1082" s="14" t="n">
        <v>92.34999999999999</v>
      </c>
      <c r="L1082" s="15" t="n">
        <v>72.63</v>
      </c>
      <c r="M1082" s="14" t="n">
        <v>4509.55</v>
      </c>
      <c r="N1082" s="14" t="n">
        <v>4341.2</v>
      </c>
      <c r="O1082" s="14" t="n">
        <v>3782.81</v>
      </c>
      <c r="P1082" s="4">
        <f>IF(O1082="","",IF(F1082&gt;O1082,"Above","Below"))</f>
        <v/>
      </c>
      <c r="Q1082" s="16" t="n">
        <v>414495</v>
      </c>
      <c r="R1082" s="17" t="n">
        <v>0</v>
      </c>
      <c r="S1082" s="17" t="n">
        <v>0</v>
      </c>
      <c r="T1082" s="17" t="n">
        <v>0</v>
      </c>
      <c r="U1082" s="18" t="n">
        <v>0</v>
      </c>
    </row>
    <row r="1083">
      <c r="A1083" s="13" t="n">
        <v>46043</v>
      </c>
      <c r="B1083" s="4">
        <f>TEXT(A1083,"ddd")</f>
        <v/>
      </c>
      <c r="C1083" s="14" t="n">
        <v>4767.5</v>
      </c>
      <c r="D1083" s="14" t="n">
        <v>4891.1</v>
      </c>
      <c r="E1083" s="14" t="n">
        <v>4757.1</v>
      </c>
      <c r="F1083" s="14" t="n">
        <v>4837.5</v>
      </c>
      <c r="G1083" s="9">
        <f>F1083-F1082</f>
        <v/>
      </c>
      <c r="H1083" s="10">
        <f>IF(F1082=0,0,G1083/F1082)</f>
        <v/>
      </c>
      <c r="I1083" s="8">
        <f>D1083-E1083</f>
        <v/>
      </c>
      <c r="J1083" s="4">
        <f>IF(F1083&gt;C1083,"Up",IF(F1083&lt;C1083,"Down","Flat"))</f>
        <v/>
      </c>
      <c r="K1083" s="14" t="n">
        <v>95.31999999999999</v>
      </c>
      <c r="L1083" s="15" t="n">
        <v>75.3</v>
      </c>
      <c r="M1083" s="14" t="n">
        <v>4540.79</v>
      </c>
      <c r="N1083" s="14" t="n">
        <v>4360.67</v>
      </c>
      <c r="O1083" s="14" t="n">
        <v>3793.3</v>
      </c>
      <c r="P1083" s="4">
        <f>IF(O1083="","",IF(F1083&gt;O1083,"Above","Below"))</f>
        <v/>
      </c>
      <c r="Q1083" s="16" t="n">
        <v>400518</v>
      </c>
      <c r="R1083" s="17" t="n">
        <v>0</v>
      </c>
      <c r="S1083" s="17" t="n">
        <v>0</v>
      </c>
      <c r="T1083" s="17" t="n">
        <v>0</v>
      </c>
      <c r="U1083" s="18" t="n">
        <v>0</v>
      </c>
    </row>
    <row r="1084">
      <c r="A1084" s="13" t="n">
        <v>46044</v>
      </c>
      <c r="B1084" s="4">
        <f>TEXT(A1084,"ddd")</f>
        <v/>
      </c>
      <c r="C1084" s="14" t="n">
        <v>4836.2</v>
      </c>
      <c r="D1084" s="14" t="n">
        <v>4944.3</v>
      </c>
      <c r="E1084" s="14" t="n">
        <v>4772.7</v>
      </c>
      <c r="F1084" s="14" t="n">
        <v>4913.4</v>
      </c>
      <c r="G1084" s="9">
        <f>F1084-F1083</f>
        <v/>
      </c>
      <c r="H1084" s="10">
        <f>IF(F1083=0,0,G1084/F1083)</f>
        <v/>
      </c>
      <c r="I1084" s="8">
        <f>D1084-E1084</f>
        <v/>
      </c>
      <c r="J1084" s="4">
        <f>IF(F1084&gt;C1084,"Up",IF(F1084&lt;C1084,"Down","Flat"))</f>
        <v/>
      </c>
      <c r="K1084" s="14" t="n">
        <v>100.77</v>
      </c>
      <c r="L1084" s="15" t="n">
        <v>77.76000000000001</v>
      </c>
      <c r="M1084" s="14" t="n">
        <v>4576.27</v>
      </c>
      <c r="N1084" s="14" t="n">
        <v>4382.34</v>
      </c>
      <c r="O1084" s="14" t="n">
        <v>3804.45</v>
      </c>
      <c r="P1084" s="4">
        <f>IF(O1084="","",IF(F1084&gt;O1084,"Above","Below"))</f>
        <v/>
      </c>
      <c r="Q1084" s="16" t="n">
        <v>265088</v>
      </c>
      <c r="R1084" s="17" t="n">
        <v>0</v>
      </c>
      <c r="S1084" s="17" t="n">
        <v>0</v>
      </c>
      <c r="T1084" s="17" t="n">
        <v>0</v>
      </c>
      <c r="U1084" s="18" t="n">
        <v>0</v>
      </c>
    </row>
    <row r="1085">
      <c r="A1085" s="13" t="n">
        <v>46045</v>
      </c>
      <c r="B1085" s="4">
        <f>TEXT(A1085,"ddd")</f>
        <v/>
      </c>
      <c r="C1085" s="14" t="n">
        <v>4940</v>
      </c>
      <c r="D1085" s="14" t="n">
        <v>4991.4</v>
      </c>
      <c r="E1085" s="14" t="n">
        <v>4901.2</v>
      </c>
      <c r="F1085" s="14" t="n">
        <v>4979.7</v>
      </c>
      <c r="G1085" s="9">
        <f>F1085-F1084</f>
        <v/>
      </c>
      <c r="H1085" s="10">
        <f>IF(F1084=0,0,G1085/F1084)</f>
        <v/>
      </c>
      <c r="I1085" s="8">
        <f>D1085-E1085</f>
        <v/>
      </c>
      <c r="J1085" s="4">
        <f>IF(F1085&gt;C1085,"Up",IF(F1085&lt;C1085,"Down","Flat"))</f>
        <v/>
      </c>
      <c r="K1085" s="14" t="n">
        <v>100.02</v>
      </c>
      <c r="L1085" s="15" t="n">
        <v>79.68000000000001</v>
      </c>
      <c r="M1085" s="14" t="n">
        <v>4614.7</v>
      </c>
      <c r="N1085" s="14" t="n">
        <v>4405.77</v>
      </c>
      <c r="O1085" s="14" t="n">
        <v>3816.14</v>
      </c>
      <c r="P1085" s="4">
        <f>IF(O1085="","",IF(F1085&gt;O1085,"Above","Below"))</f>
        <v/>
      </c>
      <c r="Q1085" s="16" t="n">
        <v>276594</v>
      </c>
      <c r="R1085" s="17" t="n">
        <v>0</v>
      </c>
      <c r="S1085" s="17" t="n">
        <v>0</v>
      </c>
      <c r="T1085" s="17" t="n">
        <v>0</v>
      </c>
      <c r="U1085" s="18" t="n">
        <v>0</v>
      </c>
    </row>
    <row r="1086">
      <c r="A1086" s="13" t="n">
        <v>46048</v>
      </c>
      <c r="B1086" s="4">
        <f>TEXT(A1086,"ddd")</f>
        <v/>
      </c>
      <c r="C1086" s="14" t="n">
        <v>5013.4</v>
      </c>
      <c r="D1086" s="14" t="n">
        <v>5107.9</v>
      </c>
      <c r="E1086" s="14" t="n">
        <v>4983.6</v>
      </c>
      <c r="F1086" s="14" t="n">
        <v>5082.5</v>
      </c>
      <c r="G1086" s="9">
        <f>F1086-F1085</f>
        <v/>
      </c>
      <c r="H1086" s="10">
        <f>IF(F1085=0,0,G1086/F1085)</f>
        <v/>
      </c>
      <c r="I1086" s="8">
        <f>D1086-E1086</f>
        <v/>
      </c>
      <c r="J1086" s="4">
        <f>IF(F1086&gt;C1086,"Up",IF(F1086&lt;C1086,"Down","Flat"))</f>
        <v/>
      </c>
      <c r="K1086" s="14" t="n">
        <v>102.03</v>
      </c>
      <c r="L1086" s="15" t="n">
        <v>82.23</v>
      </c>
      <c r="M1086" s="14" t="n">
        <v>4659.25</v>
      </c>
      <c r="N1086" s="14" t="n">
        <v>4432.31</v>
      </c>
      <c r="O1086" s="14" t="n">
        <v>3828.74</v>
      </c>
      <c r="P1086" s="4">
        <f>IF(O1086="","",IF(F1086&gt;O1086,"Above","Below"))</f>
        <v/>
      </c>
      <c r="Q1086" s="16" t="n">
        <v>433111</v>
      </c>
      <c r="R1086" s="17" t="n">
        <v>0</v>
      </c>
      <c r="S1086" s="17" t="n">
        <v>0</v>
      </c>
      <c r="T1086" s="17" t="n">
        <v>0</v>
      </c>
      <c r="U1086" s="18" t="n">
        <v>0</v>
      </c>
    </row>
    <row r="1087">
      <c r="A1087" s="13" t="n">
        <v>46049</v>
      </c>
      <c r="B1087" s="4">
        <f>TEXT(A1087,"ddd")</f>
        <v/>
      </c>
      <c r="C1087" s="14" t="n">
        <v>5005.5</v>
      </c>
      <c r="D1087" s="14" t="n">
        <v>5190.8</v>
      </c>
      <c r="E1087" s="14" t="n">
        <v>5004.5</v>
      </c>
      <c r="F1087" s="14" t="n">
        <v>5082.6</v>
      </c>
      <c r="G1087" s="9">
        <f>F1087-F1086</f>
        <v/>
      </c>
      <c r="H1087" s="10">
        <f>IF(F1086=0,0,G1087/F1086)</f>
        <v/>
      </c>
      <c r="I1087" s="8">
        <f>D1087-E1087</f>
        <v/>
      </c>
      <c r="J1087" s="4">
        <f>IF(F1087&gt;C1087,"Up",IF(F1087&lt;C1087,"Down","Flat"))</f>
        <v/>
      </c>
      <c r="K1087" s="14" t="n">
        <v>108.05</v>
      </c>
      <c r="L1087" s="15" t="n">
        <v>82.23</v>
      </c>
      <c r="M1087" s="14" t="n">
        <v>4699.57</v>
      </c>
      <c r="N1087" s="14" t="n">
        <v>4457.81</v>
      </c>
      <c r="O1087" s="14" t="n">
        <v>3841.22</v>
      </c>
      <c r="P1087" s="4">
        <f>IF(O1087="","",IF(F1087&gt;O1087,"Above","Below"))</f>
        <v/>
      </c>
      <c r="Q1087" s="16" t="n">
        <v>325759</v>
      </c>
      <c r="R1087" s="17" t="n">
        <v>0</v>
      </c>
      <c r="S1087" s="17" t="n">
        <v>0</v>
      </c>
      <c r="T1087" s="17" t="n">
        <v>0</v>
      </c>
      <c r="U1087" s="18" t="n">
        <v>0</v>
      </c>
    </row>
    <row r="1088">
      <c r="A1088" s="13" t="n">
        <v>46050</v>
      </c>
      <c r="B1088" s="4">
        <f>TEXT(A1088,"ddd")</f>
        <v/>
      </c>
      <c r="C1088" s="14" t="n">
        <v>5179</v>
      </c>
      <c r="D1088" s="14" t="n">
        <v>5415.2</v>
      </c>
      <c r="E1088" s="14" t="n">
        <v>5154.8</v>
      </c>
      <c r="F1088" s="14" t="n">
        <v>5303.6</v>
      </c>
      <c r="G1088" s="9">
        <f>F1088-F1087</f>
        <v/>
      </c>
      <c r="H1088" s="10">
        <f>IF(F1087=0,0,G1088/F1087)</f>
        <v/>
      </c>
      <c r="I1088" s="8">
        <f>D1088-E1088</f>
        <v/>
      </c>
      <c r="J1088" s="4">
        <f>IF(F1088&gt;C1088,"Up",IF(F1088&lt;C1088,"Down","Flat"))</f>
        <v/>
      </c>
      <c r="K1088" s="14" t="n">
        <v>124.09</v>
      </c>
      <c r="L1088" s="15" t="n">
        <v>86.45999999999999</v>
      </c>
      <c r="M1088" s="14" t="n">
        <v>4757.09</v>
      </c>
      <c r="N1088" s="14" t="n">
        <v>4490.98</v>
      </c>
      <c r="O1088" s="14" t="n">
        <v>3855.77</v>
      </c>
      <c r="P1088" s="4">
        <f>IF(O1088="","",IF(F1088&gt;O1088,"Above","Below"))</f>
        <v/>
      </c>
      <c r="Q1088" s="16" t="n">
        <v>112054</v>
      </c>
      <c r="R1088" s="17" t="n">
        <v>0</v>
      </c>
      <c r="S1088" s="17" t="n">
        <v>0</v>
      </c>
      <c r="T1088" s="17" t="n">
        <v>0</v>
      </c>
      <c r="U1088" s="18" t="n">
        <v>0</v>
      </c>
    </row>
    <row r="1089">
      <c r="A1089" s="13" t="n">
        <v>46051</v>
      </c>
      <c r="B1089" s="4">
        <f>TEXT(A1089,"ddd")</f>
        <v/>
      </c>
      <c r="C1089" s="14" t="n">
        <v>5415.7</v>
      </c>
      <c r="D1089" s="14" t="n">
        <v>5586.2</v>
      </c>
      <c r="E1089" s="14" t="n">
        <v>5097.5</v>
      </c>
      <c r="F1089" s="14" t="n">
        <v>5318.4</v>
      </c>
      <c r="G1089" s="9">
        <f>F1089-F1088</f>
        <v/>
      </c>
      <c r="H1089" s="10">
        <f>IF(F1088=0,0,G1089/F1088)</f>
        <v/>
      </c>
      <c r="I1089" s="8">
        <f>D1089-E1089</f>
        <v/>
      </c>
      <c r="J1089" s="4">
        <f>IF(F1089&gt;C1089,"Up",IF(F1089&lt;C1089,"Down","Flat"))</f>
        <v/>
      </c>
      <c r="K1089" s="14" t="n">
        <v>150.13</v>
      </c>
      <c r="L1089" s="15" t="n">
        <v>86.69</v>
      </c>
      <c r="M1089" s="14" t="n">
        <v>4810.55</v>
      </c>
      <c r="N1089" s="14" t="n">
        <v>4523.42</v>
      </c>
      <c r="O1089" s="14" t="n">
        <v>3870.32</v>
      </c>
      <c r="P1089" s="4">
        <f>IF(O1089="","",IF(F1089&gt;O1089,"Above","Below"))</f>
        <v/>
      </c>
      <c r="Q1089" s="16" t="n">
        <v>570055</v>
      </c>
      <c r="R1089" s="17" t="n">
        <v>0</v>
      </c>
      <c r="S1089" s="17" t="n">
        <v>0</v>
      </c>
      <c r="T1089" s="17" t="n">
        <v>0</v>
      </c>
      <c r="U1089" s="18" t="n">
        <v>0</v>
      </c>
    </row>
    <row r="1090">
      <c r="A1090" s="13" t="n">
        <v>46052</v>
      </c>
      <c r="B1090" s="4">
        <f>TEXT(A1090,"ddd")</f>
        <v/>
      </c>
      <c r="C1090" s="14" t="n">
        <v>5410</v>
      </c>
      <c r="D1090" s="14" t="n">
        <v>5480.2</v>
      </c>
      <c r="E1090" s="14" t="n">
        <v>4700.4</v>
      </c>
      <c r="F1090" s="14" t="n">
        <v>4745.1</v>
      </c>
      <c r="G1090" s="9">
        <f>F1090-F1089</f>
        <v/>
      </c>
      <c r="H1090" s="10">
        <f>IF(F1089=0,0,G1090/F1089)</f>
        <v/>
      </c>
      <c r="I1090" s="8">
        <f>D1090-E1090</f>
        <v/>
      </c>
      <c r="J1090" s="4">
        <f>IF(F1090&gt;C1090,"Up",IF(F1090&lt;C1090,"Down","Flat"))</f>
        <v/>
      </c>
      <c r="K1090" s="14" t="n">
        <v>195.11</v>
      </c>
      <c r="L1090" s="15" t="n">
        <v>50.85</v>
      </c>
      <c r="M1090" s="14" t="n">
        <v>4804.32</v>
      </c>
      <c r="N1090" s="14" t="n">
        <v>4532.12</v>
      </c>
      <c r="O1090" s="14" t="n">
        <v>3879.02</v>
      </c>
      <c r="P1090" s="4">
        <f>IF(O1090="","",IF(F1090&gt;O1090,"Above","Below"))</f>
        <v/>
      </c>
      <c r="Q1090" s="16" t="n">
        <v>508003</v>
      </c>
      <c r="R1090" s="17" t="n">
        <v>0</v>
      </c>
      <c r="S1090" s="17" t="n">
        <v>0</v>
      </c>
      <c r="T1090" s="17" t="n">
        <v>0</v>
      </c>
      <c r="U1090" s="18" t="n">
        <v>0</v>
      </c>
    </row>
    <row r="1091">
      <c r="A1091" s="13" t="n">
        <v>46055</v>
      </c>
      <c r="B1091" s="4">
        <f>TEXT(A1091,"ddd")</f>
        <v/>
      </c>
      <c r="C1091" s="14" t="n">
        <v>4816</v>
      </c>
      <c r="D1091" s="14" t="n">
        <v>4905.6</v>
      </c>
      <c r="E1091" s="14" t="n">
        <v>4423.2</v>
      </c>
      <c r="F1091" s="14" t="n">
        <v>4652.6</v>
      </c>
      <c r="G1091" s="9">
        <f>F1091-F1090</f>
        <v/>
      </c>
      <c r="H1091" s="10">
        <f>IF(F1090=0,0,G1091/F1090)</f>
        <v/>
      </c>
      <c r="I1091" s="8">
        <f>D1091-E1091</f>
        <v/>
      </c>
      <c r="J1091" s="4">
        <f>IF(F1091&gt;C1091,"Up",IF(F1091&lt;C1091,"Down","Flat"))</f>
        <v/>
      </c>
      <c r="K1091" s="14" t="n">
        <v>215.63</v>
      </c>
      <c r="L1091" s="15" t="n">
        <v>47.45</v>
      </c>
      <c r="M1091" s="14" t="n">
        <v>4789.87</v>
      </c>
      <c r="N1091" s="14" t="n">
        <v>4536.84</v>
      </c>
      <c r="O1091" s="14" t="n">
        <v>3886.72</v>
      </c>
      <c r="P1091" s="4">
        <f>IF(O1091="","",IF(F1091&gt;O1091,"Above","Below"))</f>
        <v/>
      </c>
      <c r="Q1091" s="16" t="n">
        <v>385977</v>
      </c>
      <c r="R1091" s="17" t="n">
        <v>0</v>
      </c>
      <c r="S1091" s="17" t="n">
        <v>0</v>
      </c>
      <c r="T1091" s="17" t="n">
        <v>0</v>
      </c>
      <c r="U1091" s="18" t="n">
        <v>0</v>
      </c>
    </row>
    <row r="1092">
      <c r="A1092" s="13" t="n">
        <v>46056</v>
      </c>
      <c r="B1092" s="4">
        <f>TEXT(A1092,"ddd")</f>
        <v/>
      </c>
      <c r="C1092" s="14" t="n">
        <v>4691</v>
      </c>
      <c r="D1092" s="14" t="n">
        <v>5018.1</v>
      </c>
      <c r="E1092" s="14" t="n">
        <v>4690.2</v>
      </c>
      <c r="F1092" s="14" t="n">
        <v>4935</v>
      </c>
      <c r="G1092" s="9">
        <f>F1092-F1091</f>
        <v/>
      </c>
      <c r="H1092" s="10">
        <f>IF(F1091=0,0,G1092/F1091)</f>
        <v/>
      </c>
      <c r="I1092" s="8">
        <f>D1092-E1092</f>
        <v/>
      </c>
      <c r="J1092" s="4">
        <f>IF(F1092&gt;C1092,"Up",IF(F1092&lt;C1092,"Down","Flat"))</f>
        <v/>
      </c>
      <c r="K1092" s="14" t="n">
        <v>226.33</v>
      </c>
      <c r="L1092" s="15" t="n">
        <v>56.94</v>
      </c>
      <c r="M1092" s="14" t="n">
        <v>4803.69</v>
      </c>
      <c r="N1092" s="14" t="n">
        <v>4552.46</v>
      </c>
      <c r="O1092" s="14" t="n">
        <v>3897.15</v>
      </c>
      <c r="P1092" s="4">
        <f>IF(O1092="","",IF(F1092&gt;O1092,"Above","Below"))</f>
        <v/>
      </c>
      <c r="Q1092" s="16" t="n">
        <v>260114</v>
      </c>
      <c r="R1092" s="17" t="n">
        <v>0</v>
      </c>
      <c r="S1092" s="17" t="n">
        <v>0</v>
      </c>
      <c r="T1092" s="17" t="n">
        <v>0</v>
      </c>
      <c r="U1092" s="18" t="n">
        <v>0</v>
      </c>
    </row>
    <row r="1093">
      <c r="A1093" s="13" t="n">
        <v>46057</v>
      </c>
      <c r="B1093" s="4">
        <f>TEXT(A1093,"ddd")</f>
        <v/>
      </c>
      <c r="C1093" s="14" t="n">
        <v>4966.1</v>
      </c>
      <c r="D1093" s="14" t="n">
        <v>5113.9</v>
      </c>
      <c r="E1093" s="14" t="n">
        <v>4867.7</v>
      </c>
      <c r="F1093" s="14" t="n">
        <v>4950.8</v>
      </c>
      <c r="G1093" s="9">
        <f>F1093-F1092</f>
        <v/>
      </c>
      <c r="H1093" s="10">
        <f>IF(F1092=0,0,G1093/F1092)</f>
        <v/>
      </c>
      <c r="I1093" s="8">
        <f>D1093-E1093</f>
        <v/>
      </c>
      <c r="J1093" s="4">
        <f>IF(F1093&gt;C1093,"Up",IF(F1093&lt;C1093,"Down","Flat"))</f>
        <v/>
      </c>
      <c r="K1093" s="14" t="n">
        <v>227.75</v>
      </c>
      <c r="L1093" s="15" t="n">
        <v>57.4</v>
      </c>
      <c r="M1093" s="14" t="n">
        <v>4817.7</v>
      </c>
      <c r="N1093" s="14" t="n">
        <v>4568.08</v>
      </c>
      <c r="O1093" s="14" t="n">
        <v>3907.64</v>
      </c>
      <c r="P1093" s="4">
        <f>IF(O1093="","",IF(F1093&gt;O1093,"Above","Below"))</f>
        <v/>
      </c>
      <c r="Q1093" s="16" t="n">
        <v>245957</v>
      </c>
      <c r="R1093" s="17" t="n">
        <v>0</v>
      </c>
      <c r="S1093" s="17" t="n">
        <v>0</v>
      </c>
      <c r="T1093" s="17" t="n">
        <v>0</v>
      </c>
      <c r="U1093" s="18" t="n">
        <v>0</v>
      </c>
    </row>
    <row r="1094">
      <c r="A1094" s="13" t="n">
        <v>46058</v>
      </c>
      <c r="B1094" s="4">
        <f>TEXT(A1094,"ddd")</f>
        <v/>
      </c>
      <c r="C1094" s="14" t="n">
        <v>4986.6</v>
      </c>
      <c r="D1094" s="14" t="n">
        <v>5045</v>
      </c>
      <c r="E1094" s="14" t="n">
        <v>4779.6</v>
      </c>
      <c r="F1094" s="14" t="n">
        <v>4889.5</v>
      </c>
      <c r="G1094" s="9">
        <f>F1094-F1093</f>
        <v/>
      </c>
      <c r="H1094" s="10">
        <f>IF(F1093=0,0,G1094/F1093)</f>
        <v/>
      </c>
      <c r="I1094" s="8">
        <f>D1094-E1094</f>
        <v/>
      </c>
      <c r="J1094" s="4">
        <f>IF(F1094&gt;C1094,"Up",IF(F1094&lt;C1094,"Down","Flat"))</f>
        <v/>
      </c>
      <c r="K1094" s="14" t="n">
        <v>230.44</v>
      </c>
      <c r="L1094" s="15" t="n">
        <v>54.93</v>
      </c>
      <c r="M1094" s="14" t="n">
        <v>4824.54</v>
      </c>
      <c r="N1094" s="14" t="n">
        <v>4580.68</v>
      </c>
      <c r="O1094" s="14" t="n">
        <v>3917.41</v>
      </c>
      <c r="P1094" s="4">
        <f>IF(O1094="","",IF(F1094&gt;O1094,"Above","Below"))</f>
        <v/>
      </c>
      <c r="Q1094" s="16" t="n">
        <v>234592</v>
      </c>
      <c r="R1094" s="17" t="n">
        <v>0</v>
      </c>
      <c r="S1094" s="17" t="n">
        <v>0</v>
      </c>
      <c r="T1094" s="17" t="n">
        <v>0</v>
      </c>
      <c r="U1094" s="18" t="n">
        <v>0</v>
      </c>
    </row>
    <row r="1095">
      <c r="A1095" s="13" t="n">
        <v>46059</v>
      </c>
      <c r="B1095" s="4">
        <f>TEXT(A1095,"ddd")</f>
        <v/>
      </c>
      <c r="C1095" s="14" t="n">
        <v>4800</v>
      </c>
      <c r="D1095" s="14" t="n">
        <v>4995.6</v>
      </c>
      <c r="E1095" s="14" t="n">
        <v>4670</v>
      </c>
      <c r="F1095" s="14" t="n">
        <v>4979.8</v>
      </c>
      <c r="G1095" s="9">
        <f>F1095-F1094</f>
        <v/>
      </c>
      <c r="H1095" s="10">
        <f>IF(F1094=0,0,G1095/F1094)</f>
        <v/>
      </c>
      <c r="I1095" s="8">
        <f>D1095-E1095</f>
        <v/>
      </c>
      <c r="J1095" s="4">
        <f>IF(F1095&gt;C1095,"Up",IF(F1095&lt;C1095,"Down","Flat"))</f>
        <v/>
      </c>
      <c r="K1095" s="14" t="n">
        <v>237.24</v>
      </c>
      <c r="L1095" s="15" t="n">
        <v>57.81</v>
      </c>
      <c r="M1095" s="14" t="n">
        <v>4839.33</v>
      </c>
      <c r="N1095" s="14" t="n">
        <v>4596.33</v>
      </c>
      <c r="O1095" s="14" t="n">
        <v>3927.98</v>
      </c>
      <c r="P1095" s="4">
        <f>IF(O1095="","",IF(F1095&gt;O1095,"Above","Below"))</f>
        <v/>
      </c>
      <c r="Q1095" s="16" t="n">
        <v>177809</v>
      </c>
      <c r="R1095" s="17" t="n">
        <v>0</v>
      </c>
      <c r="S1095" s="17" t="n">
        <v>0</v>
      </c>
      <c r="T1095" s="17" t="n">
        <v>0</v>
      </c>
      <c r="U1095" s="18" t="n">
        <v>0</v>
      </c>
    </row>
    <row r="1096">
      <c r="A1096" s="13" t="n">
        <v>46062</v>
      </c>
      <c r="B1096" s="4">
        <f>TEXT(A1096,"ddd")</f>
        <v/>
      </c>
      <c r="C1096" s="14" t="n">
        <v>5003.6</v>
      </c>
      <c r="D1096" s="14" t="n">
        <v>5111.1</v>
      </c>
      <c r="E1096" s="14" t="n">
        <v>4988.6</v>
      </c>
      <c r="F1096" s="14" t="n">
        <v>5079.4</v>
      </c>
      <c r="G1096" s="9">
        <f>F1096-F1095</f>
        <v/>
      </c>
      <c r="H1096" s="10">
        <f>IF(F1095=0,0,G1096/F1095)</f>
        <v/>
      </c>
      <c r="I1096" s="8">
        <f>D1096-E1096</f>
        <v/>
      </c>
      <c r="J1096" s="4">
        <f>IF(F1096&gt;C1096,"Up",IF(F1096&lt;C1096,"Down","Flat"))</f>
        <v/>
      </c>
      <c r="K1096" s="14" t="n">
        <v>229.67</v>
      </c>
      <c r="L1096" s="15" t="n">
        <v>60.79</v>
      </c>
      <c r="M1096" s="14" t="n">
        <v>4862.19</v>
      </c>
      <c r="N1096" s="14" t="n">
        <v>4615.28</v>
      </c>
      <c r="O1096" s="14" t="n">
        <v>3939.43</v>
      </c>
      <c r="P1096" s="4">
        <f>IF(O1096="","",IF(F1096&gt;O1096,"Above","Below"))</f>
        <v/>
      </c>
      <c r="Q1096" s="16" t="n">
        <v>124150</v>
      </c>
      <c r="R1096" s="17" t="n">
        <v>0</v>
      </c>
      <c r="S1096" s="17" t="n">
        <v>0</v>
      </c>
      <c r="T1096" s="17" t="n">
        <v>0</v>
      </c>
      <c r="U1096" s="18" t="n">
        <v>0</v>
      </c>
    </row>
    <row r="1097">
      <c r="A1097" s="13" t="n">
        <v>46063</v>
      </c>
      <c r="B1097" s="4">
        <f>TEXT(A1097,"ddd")</f>
        <v/>
      </c>
      <c r="C1097" s="14" t="n">
        <v>5084.3</v>
      </c>
      <c r="D1097" s="14" t="n">
        <v>5102.7</v>
      </c>
      <c r="E1097" s="14" t="n">
        <v>5011</v>
      </c>
      <c r="F1097" s="14" t="n">
        <v>5031</v>
      </c>
      <c r="G1097" s="9">
        <f>F1097-F1096</f>
        <v/>
      </c>
      <c r="H1097" s="10">
        <f>IF(F1096=0,0,G1097/F1096)</f>
        <v/>
      </c>
      <c r="I1097" s="8">
        <f>D1097-E1097</f>
        <v/>
      </c>
      <c r="J1097" s="4">
        <f>IF(F1097&gt;C1097,"Up",IF(F1097&lt;C1097,"Down","Flat"))</f>
        <v/>
      </c>
      <c r="K1097" s="14" t="n">
        <v>219.82</v>
      </c>
      <c r="L1097" s="15" t="n">
        <v>58.62</v>
      </c>
      <c r="M1097" s="14" t="n">
        <v>4878.27</v>
      </c>
      <c r="N1097" s="14" t="n">
        <v>4631.58</v>
      </c>
      <c r="O1097" s="14" t="n">
        <v>3950.3</v>
      </c>
      <c r="P1097" s="4">
        <f>IF(O1097="","",IF(F1097&gt;O1097,"Above","Below"))</f>
        <v/>
      </c>
      <c r="Q1097" s="16" t="n">
        <v>105658</v>
      </c>
      <c r="R1097" s="17" t="n">
        <v>0</v>
      </c>
      <c r="S1097" s="17" t="n">
        <v>0</v>
      </c>
      <c r="T1097" s="17" t="n">
        <v>0</v>
      </c>
      <c r="U1097" s="18" t="n">
        <v>0</v>
      </c>
    </row>
    <row r="1098">
      <c r="A1098" s="13" t="n">
        <v>46064</v>
      </c>
      <c r="B1098" s="4">
        <f>TEXT(A1098,"ddd")</f>
        <v/>
      </c>
      <c r="C1098" s="14" t="n">
        <v>5048</v>
      </c>
      <c r="D1098" s="14" t="n">
        <v>5144.5</v>
      </c>
      <c r="E1098" s="14" t="n">
        <v>5036.3</v>
      </c>
      <c r="F1098" s="14" t="n">
        <v>5098.5</v>
      </c>
      <c r="G1098" s="9">
        <f>F1098-F1097</f>
        <v/>
      </c>
      <c r="H1098" s="10">
        <f>IF(F1097=0,0,G1098/F1097)</f>
        <v/>
      </c>
      <c r="I1098" s="8">
        <f>D1098-E1098</f>
        <v/>
      </c>
      <c r="J1098" s="4">
        <f>IF(F1098&gt;C1098,"Up",IF(F1098&lt;C1098,"Down","Flat"))</f>
        <v/>
      </c>
      <c r="K1098" s="14" t="n">
        <v>212.22</v>
      </c>
      <c r="L1098" s="15" t="n">
        <v>60.72</v>
      </c>
      <c r="M1098" s="14" t="n">
        <v>4899.24</v>
      </c>
      <c r="N1098" s="14" t="n">
        <v>4649.89</v>
      </c>
      <c r="O1098" s="14" t="n">
        <v>3961.72</v>
      </c>
      <c r="P1098" s="4">
        <f>IF(O1098="","",IF(F1098&gt;O1098,"Above","Below"))</f>
        <v/>
      </c>
      <c r="Q1098" s="16" t="n">
        <v>129968</v>
      </c>
      <c r="R1098" s="17" t="n">
        <v>0</v>
      </c>
      <c r="S1098" s="17" t="n">
        <v>0</v>
      </c>
      <c r="T1098" s="17" t="n">
        <v>0</v>
      </c>
      <c r="U1098" s="18" t="n">
        <v>0</v>
      </c>
    </row>
    <row r="1099">
      <c r="A1099" s="13" t="n">
        <v>46065</v>
      </c>
      <c r="B1099" s="4">
        <f>TEXT(A1099,"ddd")</f>
        <v/>
      </c>
      <c r="C1099" s="14" t="n">
        <v>5107.3</v>
      </c>
      <c r="D1099" s="14" t="n">
        <v>5122.8</v>
      </c>
      <c r="E1099" s="14" t="n">
        <v>4900</v>
      </c>
      <c r="F1099" s="14" t="n">
        <v>4948.4</v>
      </c>
      <c r="G1099" s="9">
        <f>F1099-F1098</f>
        <v/>
      </c>
      <c r="H1099" s="10">
        <f>IF(F1098=0,0,G1099/F1098)</f>
        <v/>
      </c>
      <c r="I1099" s="8">
        <f>D1099-E1099</f>
        <v/>
      </c>
      <c r="J1099" s="4">
        <f>IF(F1099&gt;C1099,"Up",IF(F1099&lt;C1099,"Down","Flat"))</f>
        <v/>
      </c>
      <c r="K1099" s="14" t="n">
        <v>212.98</v>
      </c>
      <c r="L1099" s="15" t="n">
        <v>54.14</v>
      </c>
      <c r="M1099" s="14" t="n">
        <v>4903.92</v>
      </c>
      <c r="N1099" s="14" t="n">
        <v>4661.6</v>
      </c>
      <c r="O1099" s="14" t="n">
        <v>3971.54</v>
      </c>
      <c r="P1099" s="4">
        <f>IF(O1099="","",IF(F1099&gt;O1099,"Above","Below"))</f>
        <v/>
      </c>
      <c r="Q1099" s="16" t="n">
        <v>161618</v>
      </c>
      <c r="R1099" s="17" t="n">
        <v>0</v>
      </c>
      <c r="S1099" s="17" t="n">
        <v>0</v>
      </c>
      <c r="T1099" s="17" t="n">
        <v>0</v>
      </c>
      <c r="U1099" s="18" t="n">
        <v>0</v>
      </c>
    </row>
    <row r="1100">
      <c r="A1100" s="13" t="n">
        <v>46066</v>
      </c>
      <c r="B1100" s="4">
        <f>TEXT(A1100,"ddd")</f>
        <v/>
      </c>
      <c r="C1100" s="14" t="n">
        <v>4950</v>
      </c>
      <c r="D1100" s="14" t="n">
        <v>5069.1</v>
      </c>
      <c r="E1100" s="14" t="n">
        <v>4907.1</v>
      </c>
      <c r="F1100" s="14" t="n">
        <v>5046.3</v>
      </c>
      <c r="G1100" s="9">
        <f>F1100-F1099</f>
        <v/>
      </c>
      <c r="H1100" s="10">
        <f>IF(F1099=0,0,G1100/F1099)</f>
        <v/>
      </c>
      <c r="I1100" s="8">
        <f>D1100-E1100</f>
        <v/>
      </c>
      <c r="J1100" s="4">
        <f>IF(F1100&gt;C1100,"Up",IF(F1100&lt;C1100,"Down","Flat"))</f>
        <v/>
      </c>
      <c r="K1100" s="14" t="n">
        <v>209.34</v>
      </c>
      <c r="L1100" s="15" t="n">
        <v>57.38</v>
      </c>
      <c r="M1100" s="14" t="n">
        <v>4917.48</v>
      </c>
      <c r="N1100" s="14" t="n">
        <v>4676.68</v>
      </c>
      <c r="O1100" s="14" t="n">
        <v>3982.23</v>
      </c>
      <c r="P1100" s="4">
        <f>IF(O1100="","",IF(F1100&gt;O1100,"Above","Below"))</f>
        <v/>
      </c>
      <c r="Q1100" s="16" t="n">
        <v>123016</v>
      </c>
      <c r="R1100" s="17" t="n">
        <v>0</v>
      </c>
      <c r="S1100" s="17" t="n">
        <v>0</v>
      </c>
      <c r="T1100" s="17" t="n">
        <v>0</v>
      </c>
      <c r="U1100" s="18" t="n">
        <v>0</v>
      </c>
    </row>
    <row r="1101">
      <c r="A1101" s="13" t="n">
        <v>46070</v>
      </c>
      <c r="B1101" s="4">
        <f>TEXT(A1101,"ddd")</f>
        <v/>
      </c>
      <c r="C1101" s="14" t="n">
        <v>5050</v>
      </c>
      <c r="D1101" s="14" t="n">
        <v>5074.4</v>
      </c>
      <c r="E1101" s="14" t="n">
        <v>4854.2</v>
      </c>
      <c r="F1101" s="14" t="n">
        <v>4905.9</v>
      </c>
      <c r="G1101" s="9">
        <f>F1101-F1100</f>
        <v/>
      </c>
      <c r="H1101" s="10">
        <f>IF(F1100=0,0,G1101/F1100)</f>
        <v/>
      </c>
      <c r="I1101" s="8">
        <f>D1101-E1101</f>
        <v/>
      </c>
      <c r="J1101" s="4">
        <f>IF(F1101&gt;C1101,"Up",IF(F1101&lt;C1101,"Down","Flat"))</f>
        <v/>
      </c>
      <c r="K1101" s="14" t="n">
        <v>210.11</v>
      </c>
      <c r="L1101" s="15" t="n">
        <v>51.73</v>
      </c>
      <c r="M1101" s="14" t="n">
        <v>4916.38</v>
      </c>
      <c r="N1101" s="14" t="n">
        <v>4685.67</v>
      </c>
      <c r="O1101" s="14" t="n">
        <v>3991.42</v>
      </c>
      <c r="P1101" s="4">
        <f>IF(O1101="","",IF(F1101&gt;O1101,"Above","Below"))</f>
        <v/>
      </c>
      <c r="Q1101" s="16" t="n">
        <v>166706</v>
      </c>
      <c r="R1101" s="17" t="n">
        <v>0</v>
      </c>
      <c r="S1101" s="17" t="n">
        <v>0</v>
      </c>
      <c r="T1101" s="17" t="n">
        <v>0</v>
      </c>
      <c r="U1101" s="18" t="n">
        <v>0</v>
      </c>
    </row>
    <row r="1102">
      <c r="A1102" s="13" t="n">
        <v>46071</v>
      </c>
      <c r="B1102" s="4">
        <f>TEXT(A1102,"ddd")</f>
        <v/>
      </c>
      <c r="C1102" s="14" t="n">
        <v>4898.5</v>
      </c>
      <c r="D1102" s="14" t="n">
        <v>5031.9</v>
      </c>
      <c r="E1102" s="14" t="n">
        <v>4868.5</v>
      </c>
      <c r="F1102" s="14" t="n">
        <v>5009.5</v>
      </c>
      <c r="G1102" s="9">
        <f>F1102-F1101</f>
        <v/>
      </c>
      <c r="H1102" s="10">
        <f>IF(F1101=0,0,G1102/F1101)</f>
        <v/>
      </c>
      <c r="I1102" s="8">
        <f>D1102-E1102</f>
        <v/>
      </c>
      <c r="J1102" s="4">
        <f>IF(F1102&gt;C1102,"Up",IF(F1102&lt;C1102,"Down","Flat"))</f>
        <v/>
      </c>
      <c r="K1102" s="14" t="n">
        <v>206.78</v>
      </c>
      <c r="L1102" s="15" t="n">
        <v>55.24</v>
      </c>
      <c r="M1102" s="14" t="n">
        <v>4925.25</v>
      </c>
      <c r="N1102" s="14" t="n">
        <v>4698.37</v>
      </c>
      <c r="O1102" s="14" t="n">
        <v>4001.55</v>
      </c>
      <c r="P1102" s="4">
        <f>IF(O1102="","",IF(F1102&gt;O1102,"Above","Below"))</f>
        <v/>
      </c>
      <c r="Q1102" s="16" t="n">
        <v>98203</v>
      </c>
      <c r="R1102" s="17" t="n">
        <v>0</v>
      </c>
      <c r="S1102" s="17" t="n">
        <v>0</v>
      </c>
      <c r="T1102" s="17" t="n">
        <v>0</v>
      </c>
      <c r="U1102" s="18" t="n">
        <v>0</v>
      </c>
    </row>
    <row r="1103">
      <c r="A1103" s="13" t="n">
        <v>46072</v>
      </c>
      <c r="B1103" s="4">
        <f>TEXT(A1103,"ddd")</f>
        <v/>
      </c>
      <c r="C1103" s="14" t="n">
        <v>4993.7</v>
      </c>
      <c r="D1103" s="14" t="n">
        <v>5042.8</v>
      </c>
      <c r="E1103" s="14" t="n">
        <v>4971.5</v>
      </c>
      <c r="F1103" s="14" t="n">
        <v>4997.4</v>
      </c>
      <c r="G1103" s="9">
        <f>F1103-F1102</f>
        <v/>
      </c>
      <c r="H1103" s="10">
        <f>IF(F1102=0,0,G1103/F1102)</f>
        <v/>
      </c>
      <c r="I1103" s="8">
        <f>D1103-E1103</f>
        <v/>
      </c>
      <c r="J1103" s="4">
        <f>IF(F1103&gt;C1103,"Up",IF(F1103&lt;C1103,"Down","Flat"))</f>
        <v/>
      </c>
      <c r="K1103" s="14" t="n">
        <v>197.1</v>
      </c>
      <c r="L1103" s="15" t="n">
        <v>54.74</v>
      </c>
      <c r="M1103" s="14" t="n">
        <v>4932.12</v>
      </c>
      <c r="N1103" s="14" t="n">
        <v>4710.1</v>
      </c>
      <c r="O1103" s="14" t="n">
        <v>4011.46</v>
      </c>
      <c r="P1103" s="4">
        <f>IF(O1103="","",IF(F1103&gt;O1103,"Above","Below"))</f>
        <v/>
      </c>
      <c r="Q1103" s="16" t="n">
        <v>87026</v>
      </c>
      <c r="R1103" s="17" t="n">
        <v>0</v>
      </c>
      <c r="S1103" s="17" t="n">
        <v>0</v>
      </c>
      <c r="T1103" s="17" t="n">
        <v>0</v>
      </c>
      <c r="U1103" s="18" t="n">
        <v>0</v>
      </c>
    </row>
    <row r="1104">
      <c r="A1104" s="13" t="n">
        <v>46073</v>
      </c>
      <c r="B1104" s="4">
        <f>TEXT(A1104,"ddd")</f>
        <v/>
      </c>
      <c r="C1104" s="14" t="n">
        <v>5015</v>
      </c>
      <c r="D1104" s="14" t="n">
        <v>5131</v>
      </c>
      <c r="E1104" s="14" t="n">
        <v>4999.3</v>
      </c>
      <c r="F1104" s="14" t="n">
        <v>5080.9</v>
      </c>
      <c r="G1104" s="9">
        <f>F1104-F1103</f>
        <v/>
      </c>
      <c r="H1104" s="10">
        <f>IF(F1103=0,0,G1104/F1103)</f>
        <v/>
      </c>
      <c r="I1104" s="8">
        <f>D1104-E1104</f>
        <v/>
      </c>
      <c r="J1104" s="4">
        <f>IF(F1104&gt;C1104,"Up",IF(F1104&lt;C1104,"Down","Flat"))</f>
        <v/>
      </c>
      <c r="K1104" s="14" t="n">
        <v>192.56</v>
      </c>
      <c r="L1104" s="15" t="n">
        <v>57.59</v>
      </c>
      <c r="M1104" s="14" t="n">
        <v>4946.29</v>
      </c>
      <c r="N1104" s="14" t="n">
        <v>4724.64</v>
      </c>
      <c r="O1104" s="14" t="n">
        <v>4022.1</v>
      </c>
      <c r="P1104" s="4">
        <f>IF(O1104="","",IF(F1104&gt;O1104,"Above","Below"))</f>
        <v/>
      </c>
      <c r="Q1104" s="16" t="n">
        <v>136737</v>
      </c>
      <c r="R1104" s="17" t="n">
        <v>0</v>
      </c>
      <c r="S1104" s="17" t="n">
        <v>0</v>
      </c>
      <c r="T1104" s="17" t="n">
        <v>0</v>
      </c>
      <c r="U1104" s="18" t="n">
        <v>0</v>
      </c>
    </row>
    <row r="1105">
      <c r="A1105" s="13" t="n">
        <v>46076</v>
      </c>
      <c r="B1105" s="4">
        <f>TEXT(A1105,"ddd")</f>
        <v/>
      </c>
      <c r="C1105" s="14" t="n">
        <v>5128.8</v>
      </c>
      <c r="D1105" s="14" t="n">
        <v>5257.3</v>
      </c>
      <c r="E1105" s="14" t="n">
        <v>5120.4</v>
      </c>
      <c r="F1105" s="14" t="n">
        <v>5225.6</v>
      </c>
      <c r="G1105" s="9">
        <f>F1105-F1104</f>
        <v/>
      </c>
      <c r="H1105" s="10">
        <f>IF(F1104=0,0,G1105/F1104)</f>
        <v/>
      </c>
      <c r="I1105" s="8">
        <f>D1105-E1105</f>
        <v/>
      </c>
      <c r="J1105" s="4">
        <f>IF(F1105&gt;C1105,"Up",IF(F1105&lt;C1105,"Down","Flat"))</f>
        <v/>
      </c>
      <c r="K1105" s="14" t="n">
        <v>191.41</v>
      </c>
      <c r="L1105" s="15" t="n">
        <v>62.05</v>
      </c>
      <c r="M1105" s="14" t="n">
        <v>4972.89</v>
      </c>
      <c r="N1105" s="14" t="n">
        <v>4744.29</v>
      </c>
      <c r="O1105" s="14" t="n">
        <v>4034.08</v>
      </c>
      <c r="P1105" s="4">
        <f>IF(O1105="","",IF(F1105&gt;O1105,"Above","Below"))</f>
        <v/>
      </c>
      <c r="Q1105" s="16" t="n">
        <v>140957</v>
      </c>
      <c r="R1105" s="17" t="n">
        <v>0</v>
      </c>
      <c r="S1105" s="17" t="n">
        <v>0</v>
      </c>
      <c r="T1105" s="17" t="n">
        <v>0</v>
      </c>
      <c r="U1105" s="18" t="n">
        <v>0</v>
      </c>
    </row>
    <row r="1106">
      <c r="A1106" s="13" t="n">
        <v>46077</v>
      </c>
      <c r="B1106" s="4">
        <f>TEXT(A1106,"ddd")</f>
        <v/>
      </c>
      <c r="C1106" s="14" t="n">
        <v>5247.5</v>
      </c>
      <c r="D1106" s="14" t="n">
        <v>5269.4</v>
      </c>
      <c r="E1106" s="14" t="n">
        <v>5109.5</v>
      </c>
      <c r="F1106" s="14" t="n">
        <v>5176.3</v>
      </c>
      <c r="G1106" s="9">
        <f>F1106-F1105</f>
        <v/>
      </c>
      <c r="H1106" s="10">
        <f>IF(F1105=0,0,G1106/F1105)</f>
        <v/>
      </c>
      <c r="I1106" s="8">
        <f>D1106-E1106</f>
        <v/>
      </c>
      <c r="J1106" s="4">
        <f>IF(F1106&gt;C1106,"Up",IF(F1106&lt;C1106,"Down","Flat"))</f>
        <v/>
      </c>
      <c r="K1106" s="14" t="n">
        <v>189.16</v>
      </c>
      <c r="L1106" s="15" t="n">
        <v>59.74</v>
      </c>
      <c r="M1106" s="14" t="n">
        <v>4992.26</v>
      </c>
      <c r="N1106" s="14" t="n">
        <v>4761.23</v>
      </c>
      <c r="O1106" s="14" t="n">
        <v>4045.44</v>
      </c>
      <c r="P1106" s="4">
        <f>IF(O1106="","",IF(F1106&gt;O1106,"Above","Below"))</f>
        <v/>
      </c>
      <c r="Q1106" s="16" t="n">
        <v>145961</v>
      </c>
      <c r="R1106" s="17" t="n">
        <v>0</v>
      </c>
      <c r="S1106" s="17" t="n">
        <v>0</v>
      </c>
      <c r="T1106" s="17" t="n">
        <v>0</v>
      </c>
      <c r="U1106" s="18" t="n">
        <v>0</v>
      </c>
    </row>
    <row r="1107">
      <c r="A1107" s="13" t="n">
        <v>46078</v>
      </c>
      <c r="B1107" s="4">
        <f>TEXT(A1107,"ddd")</f>
        <v/>
      </c>
      <c r="C1107" s="14" t="n">
        <v>5160</v>
      </c>
      <c r="D1107" s="14" t="n">
        <v>5237.3</v>
      </c>
      <c r="E1107" s="14" t="n">
        <v>5135.9</v>
      </c>
      <c r="F1107" s="14" t="n">
        <v>5226.2</v>
      </c>
      <c r="G1107" s="9">
        <f>F1107-F1106</f>
        <v/>
      </c>
      <c r="H1107" s="10">
        <f>IF(F1106=0,0,G1107/F1106)</f>
        <v/>
      </c>
      <c r="I1107" s="8">
        <f>D1107-E1107</f>
        <v/>
      </c>
      <c r="J1107" s="4">
        <f>IF(F1107&gt;C1107,"Up",IF(F1107&lt;C1107,"Down","Flat"))</f>
        <v/>
      </c>
      <c r="K1107" s="14" t="n">
        <v>182.89</v>
      </c>
      <c r="L1107" s="15" t="n">
        <v>61.31</v>
      </c>
      <c r="M1107" s="14" t="n">
        <v>5014.54</v>
      </c>
      <c r="N1107" s="14" t="n">
        <v>4779.46</v>
      </c>
      <c r="O1107" s="14" t="n">
        <v>4057.19</v>
      </c>
      <c r="P1107" s="4">
        <f>IF(O1107="","",IF(F1107&gt;O1107,"Above","Below"))</f>
        <v/>
      </c>
      <c r="Q1107" s="16" t="n">
        <v>110992</v>
      </c>
      <c r="R1107" s="17" t="n">
        <v>0</v>
      </c>
      <c r="S1107" s="17" t="n">
        <v>0</v>
      </c>
      <c r="T1107" s="17" t="n">
        <v>0</v>
      </c>
      <c r="U1107" s="18" t="n">
        <v>0</v>
      </c>
    </row>
    <row r="1108">
      <c r="A1108" s="13" t="n">
        <v>46079</v>
      </c>
      <c r="B1108" s="4">
        <f>TEXT(A1108,"ddd")</f>
        <v/>
      </c>
      <c r="C1108" s="14" t="n">
        <v>5175.3</v>
      </c>
      <c r="D1108" s="14" t="n">
        <v>5221.9</v>
      </c>
      <c r="E1108" s="14" t="n">
        <v>5144.8</v>
      </c>
      <c r="F1108" s="14" t="n">
        <v>5194.2</v>
      </c>
      <c r="G1108" s="9">
        <f>F1108-F1107</f>
        <v/>
      </c>
      <c r="H1108" s="10">
        <f>IF(F1107=0,0,G1108/F1107)</f>
        <v/>
      </c>
      <c r="I1108" s="8">
        <f>D1108-E1108</f>
        <v/>
      </c>
      <c r="J1108" s="4">
        <f>IF(F1108&gt;C1108,"Up",IF(F1108&lt;C1108,"Down","Flat"))</f>
        <v/>
      </c>
      <c r="K1108" s="14" t="n">
        <v>175.64</v>
      </c>
      <c r="L1108" s="15" t="n">
        <v>59.71</v>
      </c>
      <c r="M1108" s="14" t="n">
        <v>5031.65</v>
      </c>
      <c r="N1108" s="14" t="n">
        <v>4795.73</v>
      </c>
      <c r="O1108" s="14" t="n">
        <v>4068.51</v>
      </c>
      <c r="P1108" s="4">
        <f>IF(O1108="","",IF(F1108&gt;O1108,"Above","Below"))</f>
        <v/>
      </c>
      <c r="Q1108" s="16" t="n">
        <v>131633</v>
      </c>
      <c r="R1108" s="17" t="n">
        <v>0</v>
      </c>
      <c r="S1108" s="17" t="n">
        <v>0</v>
      </c>
      <c r="T1108" s="17" t="n">
        <v>0</v>
      </c>
      <c r="U1108" s="18" t="n">
        <v>0</v>
      </c>
    </row>
    <row r="1109">
      <c r="A1109" s="13" t="n">
        <v>46080</v>
      </c>
      <c r="B1109" s="4">
        <f>TEXT(A1109,"ddd")</f>
        <v/>
      </c>
      <c r="C1109" s="14" t="n">
        <v>5201.9</v>
      </c>
      <c r="D1109" s="14" t="n">
        <v>5299</v>
      </c>
      <c r="E1109" s="14" t="n">
        <v>5182.9</v>
      </c>
      <c r="F1109" s="14" t="n">
        <v>5247.9</v>
      </c>
      <c r="G1109" s="9">
        <f>F1109-F1108</f>
        <v/>
      </c>
      <c r="H1109" s="10">
        <f>IF(F1108=0,0,G1109/F1108)</f>
        <v/>
      </c>
      <c r="I1109" s="8">
        <f>D1109-E1109</f>
        <v/>
      </c>
      <c r="J1109" s="4">
        <f>IF(F1109&gt;C1109,"Up",IF(F1109&lt;C1109,"Down","Flat"))</f>
        <v/>
      </c>
      <c r="K1109" s="14" t="n">
        <v>171.39</v>
      </c>
      <c r="L1109" s="15" t="n">
        <v>61.53</v>
      </c>
      <c r="M1109" s="14" t="n">
        <v>5052.25</v>
      </c>
      <c r="N1109" s="14" t="n">
        <v>4813.46</v>
      </c>
      <c r="O1109" s="14" t="n">
        <v>4080.24</v>
      </c>
      <c r="P1109" s="4">
        <f>IF(O1109="","",IF(F1109&gt;O1109,"Above","Below"))</f>
        <v/>
      </c>
      <c r="Q1109" s="16" t="n">
        <v>151664</v>
      </c>
      <c r="R1109" s="17" t="n">
        <v>0</v>
      </c>
      <c r="S1109" s="17" t="n">
        <v>0</v>
      </c>
      <c r="T1109" s="17" t="n">
        <v>0</v>
      </c>
      <c r="U1109" s="18" t="n">
        <v>0</v>
      </c>
    </row>
    <row r="1110">
      <c r="A1110" s="13" t="n">
        <v>46083</v>
      </c>
      <c r="B1110" s="4">
        <f>TEXT(A1110,"ddd")</f>
        <v/>
      </c>
      <c r="C1110" s="14" t="n">
        <v>5360</v>
      </c>
      <c r="D1110" s="14" t="n">
        <v>5434.1</v>
      </c>
      <c r="E1110" s="14" t="n">
        <v>5272.9</v>
      </c>
      <c r="F1110" s="14" t="n">
        <v>5311.6</v>
      </c>
      <c r="G1110" s="9">
        <f>F1110-F1109</f>
        <v/>
      </c>
      <c r="H1110" s="10">
        <f>IF(F1109=0,0,G1110/F1109)</f>
        <v/>
      </c>
      <c r="I1110" s="8">
        <f>D1110-E1110</f>
        <v/>
      </c>
      <c r="J1110" s="4">
        <f>IF(F1110&gt;C1110,"Up",IF(F1110&lt;C1110,"Down","Flat"))</f>
        <v/>
      </c>
      <c r="K1110" s="14" t="n">
        <v>172.45</v>
      </c>
      <c r="L1110" s="15" t="n">
        <v>63.63</v>
      </c>
      <c r="M1110" s="14" t="n">
        <v>5076.95</v>
      </c>
      <c r="N1110" s="14" t="n">
        <v>4832.99</v>
      </c>
      <c r="O1110" s="14" t="n">
        <v>4092.49</v>
      </c>
      <c r="P1110" s="4">
        <f>IF(O1110="","",IF(F1110&gt;O1110,"Above","Below"))</f>
        <v/>
      </c>
      <c r="Q1110" s="16" t="n">
        <v>227839</v>
      </c>
      <c r="R1110" s="17" t="n">
        <v>0</v>
      </c>
      <c r="S1110" s="17" t="n">
        <v>0</v>
      </c>
      <c r="T1110" s="17" t="n">
        <v>0</v>
      </c>
      <c r="U1110" s="18" t="n">
        <v>0</v>
      </c>
    </row>
    <row r="1111">
      <c r="A1111" s="13" t="n">
        <v>46084</v>
      </c>
      <c r="B1111" s="4">
        <f>TEXT(A1111,"ddd")</f>
        <v/>
      </c>
      <c r="C1111" s="14" t="n">
        <v>5335.7</v>
      </c>
      <c r="D1111" s="14" t="n">
        <v>5394.2</v>
      </c>
      <c r="E1111" s="14" t="n">
        <v>5005</v>
      </c>
      <c r="F1111" s="14" t="n">
        <v>5123.7</v>
      </c>
      <c r="G1111" s="9">
        <f>F1111-F1110</f>
        <v/>
      </c>
      <c r="H1111" s="10">
        <f>IF(F1110=0,0,G1111/F1110)</f>
        <v/>
      </c>
      <c r="I1111" s="8">
        <f>D1111-E1111</f>
        <v/>
      </c>
      <c r="J1111" s="4">
        <f>IF(F1111&gt;C1111,"Up",IF(F1111&lt;C1111,"Down","Flat"))</f>
        <v/>
      </c>
      <c r="K1111" s="14" t="n">
        <v>187.93</v>
      </c>
      <c r="L1111" s="15" t="n">
        <v>54.23</v>
      </c>
      <c r="M1111" s="14" t="n">
        <v>5081.4</v>
      </c>
      <c r="N1111" s="14" t="n">
        <v>4844.39</v>
      </c>
      <c r="O1111" s="14" t="n">
        <v>4102.75</v>
      </c>
      <c r="P1111" s="4">
        <f>IF(O1111="","",IF(F1111&gt;O1111,"Above","Below"))</f>
        <v/>
      </c>
      <c r="Q1111" s="16" t="n">
        <v>273216</v>
      </c>
      <c r="R1111" s="17" t="n">
        <v>0</v>
      </c>
      <c r="S1111" s="17" t="n">
        <v>0</v>
      </c>
      <c r="T1111" s="17" t="n">
        <v>0</v>
      </c>
      <c r="U1111" s="18" t="n">
        <v>0</v>
      </c>
    </row>
    <row r="1112">
      <c r="A1112" s="13" t="n">
        <v>46085</v>
      </c>
      <c r="B1112" s="4">
        <f>TEXT(A1112,"ddd")</f>
        <v/>
      </c>
      <c r="C1112" s="14" t="n">
        <v>5110</v>
      </c>
      <c r="D1112" s="14" t="n">
        <v>5218.3</v>
      </c>
      <c r="E1112" s="14" t="n">
        <v>5092.8</v>
      </c>
      <c r="F1112" s="14" t="n">
        <v>5134.7</v>
      </c>
      <c r="G1112" s="9">
        <f>F1112-F1111</f>
        <v/>
      </c>
      <c r="H1112" s="10">
        <f>IF(F1111=0,0,G1112/F1111)</f>
        <v/>
      </c>
      <c r="I1112" s="8">
        <f>D1112-E1112</f>
        <v/>
      </c>
      <c r="J1112" s="4">
        <f>IF(F1112&gt;C1112,"Up",IF(F1112&lt;C1112,"Down","Flat"))</f>
        <v/>
      </c>
      <c r="K1112" s="14" t="n">
        <v>183.47</v>
      </c>
      <c r="L1112" s="15" t="n">
        <v>54.65</v>
      </c>
      <c r="M1112" s="14" t="n">
        <v>5086.48</v>
      </c>
      <c r="N1112" s="14" t="n">
        <v>4855.78</v>
      </c>
      <c r="O1112" s="14" t="n">
        <v>4113.02</v>
      </c>
      <c r="P1112" s="4">
        <f>IF(O1112="","",IF(F1112&gt;O1112,"Above","Below"))</f>
        <v/>
      </c>
      <c r="Q1112" s="16" t="n">
        <v>146885</v>
      </c>
      <c r="R1112" s="17" t="n">
        <v>0</v>
      </c>
      <c r="S1112" s="17" t="n">
        <v>0</v>
      </c>
      <c r="T1112" s="17" t="n">
        <v>0</v>
      </c>
      <c r="U1112" s="18" t="n">
        <v>0</v>
      </c>
    </row>
    <row r="1113">
      <c r="A1113" s="13" t="n">
        <v>46086</v>
      </c>
      <c r="B1113" s="4">
        <f>TEXT(A1113,"ddd")</f>
        <v/>
      </c>
      <c r="C1113" s="14" t="n">
        <v>5155.7</v>
      </c>
      <c r="D1113" s="14" t="n">
        <v>5204.3</v>
      </c>
      <c r="E1113" s="14" t="n">
        <v>5058.9</v>
      </c>
      <c r="F1113" s="14" t="n">
        <v>5078.7</v>
      </c>
      <c r="G1113" s="9">
        <f>F1113-F1112</f>
        <v/>
      </c>
      <c r="H1113" s="10">
        <f>IF(F1112=0,0,G1113/F1112)</f>
        <v/>
      </c>
      <c r="I1113" s="8">
        <f>D1113-E1113</f>
        <v/>
      </c>
      <c r="J1113" s="4">
        <f>IF(F1113&gt;C1113,"Up",IF(F1113&lt;C1113,"Down","Flat"))</f>
        <v/>
      </c>
      <c r="K1113" s="14" t="n">
        <v>180.75</v>
      </c>
      <c r="L1113" s="15" t="n">
        <v>52.02</v>
      </c>
      <c r="M1113" s="14" t="n">
        <v>5085.74</v>
      </c>
      <c r="N1113" s="14" t="n">
        <v>4864.52</v>
      </c>
      <c r="O1113" s="14" t="n">
        <v>4122.63</v>
      </c>
      <c r="P1113" s="4">
        <f>IF(O1113="","",IF(F1113&gt;O1113,"Above","Below"))</f>
        <v/>
      </c>
      <c r="Q1113" s="16" t="n">
        <v>151852</v>
      </c>
      <c r="R1113" s="17" t="n">
        <v>0</v>
      </c>
      <c r="S1113" s="17" t="n">
        <v>0</v>
      </c>
      <c r="T1113" s="17" t="n">
        <v>0</v>
      </c>
      <c r="U1113" s="18" t="n">
        <v>0</v>
      </c>
    </row>
    <row r="1114">
      <c r="A1114" s="13" t="n">
        <v>46087</v>
      </c>
      <c r="B1114" s="4">
        <f>TEXT(A1114,"ddd")</f>
        <v/>
      </c>
      <c r="C1114" s="14" t="n">
        <v>5099.7</v>
      </c>
      <c r="D1114" s="14" t="n">
        <v>5185</v>
      </c>
      <c r="E1114" s="14" t="n">
        <v>5071</v>
      </c>
      <c r="F1114" s="14" t="n">
        <v>5158.7</v>
      </c>
      <c r="G1114" s="9">
        <f>F1114-F1113</f>
        <v/>
      </c>
      <c r="H1114" s="10">
        <f>IF(F1113=0,0,G1114/F1113)</f>
        <v/>
      </c>
      <c r="I1114" s="8">
        <f>D1114-E1114</f>
        <v/>
      </c>
      <c r="J1114" s="4">
        <f>IF(F1114&gt;C1114,"Up",IF(F1114&lt;C1114,"Down","Flat"))</f>
        <v/>
      </c>
      <c r="K1114" s="14" t="n">
        <v>175.98</v>
      </c>
      <c r="L1114" s="15" t="n">
        <v>55.33</v>
      </c>
      <c r="M1114" s="14" t="n">
        <v>5092.69</v>
      </c>
      <c r="N1114" s="14" t="n">
        <v>4876.06</v>
      </c>
      <c r="O1114" s="14" t="n">
        <v>4132.94</v>
      </c>
      <c r="P1114" s="4">
        <f>IF(O1114="","",IF(F1114&gt;O1114,"Above","Below"))</f>
        <v/>
      </c>
      <c r="Q1114" s="16" t="n">
        <v>160268</v>
      </c>
      <c r="R1114" s="17" t="n">
        <v>0</v>
      </c>
      <c r="S1114" s="17" t="n">
        <v>0</v>
      </c>
      <c r="T1114" s="17" t="n">
        <v>0</v>
      </c>
      <c r="U1114" s="18" t="n">
        <v>0</v>
      </c>
    </row>
    <row r="1115">
      <c r="A1115" s="13" t="n">
        <v>46090</v>
      </c>
      <c r="B1115" s="4">
        <f>TEXT(A1115,"ddd")</f>
        <v/>
      </c>
      <c r="C1115" s="14" t="n">
        <v>5186.7</v>
      </c>
      <c r="D1115" s="14" t="n">
        <v>5210.4</v>
      </c>
      <c r="E1115" s="14" t="n">
        <v>5021.2</v>
      </c>
      <c r="F1115" s="14" t="n">
        <v>5103.7</v>
      </c>
      <c r="G1115" s="9">
        <f>F1115-F1114</f>
        <v/>
      </c>
      <c r="H1115" s="10">
        <f>IF(F1114=0,0,G1115/F1114)</f>
        <v/>
      </c>
      <c r="I1115" s="8">
        <f>D1115-E1115</f>
        <v/>
      </c>
      <c r="J1115" s="4">
        <f>IF(F1115&gt;C1115,"Up",IF(F1115&lt;C1115,"Down","Flat"))</f>
        <v/>
      </c>
      <c r="K1115" s="14" t="n">
        <v>176.93</v>
      </c>
      <c r="L1115" s="15" t="n">
        <v>52.64</v>
      </c>
      <c r="M1115" s="14" t="n">
        <v>5093.73</v>
      </c>
      <c r="N1115" s="14" t="n">
        <v>4884.98</v>
      </c>
      <c r="O1115" s="14" t="n">
        <v>4142.6</v>
      </c>
      <c r="P1115" s="4">
        <f>IF(O1115="","",IF(F1115&gt;O1115,"Above","Below"))</f>
        <v/>
      </c>
      <c r="Q1115" s="16" t="n">
        <v>181749</v>
      </c>
      <c r="R1115" s="17" t="n">
        <v>0</v>
      </c>
      <c r="S1115" s="17" t="n">
        <v>0</v>
      </c>
      <c r="T1115" s="17" t="n">
        <v>0</v>
      </c>
      <c r="U1115" s="18" t="n">
        <v>0</v>
      </c>
    </row>
    <row r="1116">
      <c r="A1116" s="13" t="n">
        <v>46091</v>
      </c>
      <c r="B1116" s="4">
        <f>TEXT(A1116,"ddd")</f>
        <v/>
      </c>
      <c r="C1116" s="14" t="n">
        <v>5152.4</v>
      </c>
      <c r="D1116" s="14" t="n">
        <v>5248.7</v>
      </c>
      <c r="E1116" s="14" t="n">
        <v>5127.1</v>
      </c>
      <c r="F1116" s="14" t="n">
        <v>5242.1</v>
      </c>
      <c r="G1116" s="9">
        <f>F1116-F1115</f>
        <v/>
      </c>
      <c r="H1116" s="10">
        <f>IF(F1115=0,0,G1116/F1115)</f>
        <v/>
      </c>
      <c r="I1116" s="8">
        <f>D1116-E1116</f>
        <v/>
      </c>
      <c r="J1116" s="4">
        <f>IF(F1116&gt;C1116,"Up",IF(F1116&lt;C1116,"Down","Flat"))</f>
        <v/>
      </c>
      <c r="K1116" s="14" t="n">
        <v>174.65</v>
      </c>
      <c r="L1116" s="15" t="n">
        <v>58.15</v>
      </c>
      <c r="M1116" s="14" t="n">
        <v>5107.86</v>
      </c>
      <c r="N1116" s="14" t="n">
        <v>4898.99</v>
      </c>
      <c r="O1116" s="14" t="n">
        <v>4153.54</v>
      </c>
      <c r="P1116" s="4">
        <f>IF(O1116="","",IF(F1116&gt;O1116,"Above","Below"))</f>
        <v/>
      </c>
      <c r="Q1116" s="16" t="n">
        <v>179577</v>
      </c>
      <c r="R1116" s="17" t="n">
        <v>0</v>
      </c>
      <c r="S1116" s="17" t="n">
        <v>0</v>
      </c>
      <c r="T1116" s="17" t="n">
        <v>0</v>
      </c>
      <c r="U1116" s="18" t="n">
        <v>0</v>
      </c>
    </row>
    <row r="1117">
      <c r="A1117" s="13" t="n">
        <v>46092</v>
      </c>
      <c r="B1117" s="4">
        <f>TEXT(A1117,"ddd")</f>
        <v/>
      </c>
      <c r="C1117" s="14" t="n">
        <v>5194</v>
      </c>
      <c r="D1117" s="14" t="n">
        <v>5230.9</v>
      </c>
      <c r="E1117" s="14" t="n">
        <v>5155.9</v>
      </c>
      <c r="F1117" s="14" t="n">
        <v>5179.1</v>
      </c>
      <c r="G1117" s="9">
        <f>F1117-F1116</f>
        <v/>
      </c>
      <c r="H1117" s="10">
        <f>IF(F1116=0,0,G1117/F1116)</f>
        <v/>
      </c>
      <c r="I1117" s="8">
        <f>D1117-E1117</f>
        <v/>
      </c>
      <c r="J1117" s="4">
        <f>IF(F1117&gt;C1117,"Up",IF(F1117&lt;C1117,"Down","Flat"))</f>
        <v/>
      </c>
      <c r="K1117" s="14" t="n">
        <v>168.33</v>
      </c>
      <c r="L1117" s="15" t="n">
        <v>55.01</v>
      </c>
      <c r="M1117" s="14" t="n">
        <v>5114.65</v>
      </c>
      <c r="N1117" s="14" t="n">
        <v>4909.97</v>
      </c>
      <c r="O1117" s="14" t="n">
        <v>4163.74</v>
      </c>
      <c r="P1117" s="4">
        <f>IF(O1117="","",IF(F1117&gt;O1117,"Above","Below"))</f>
        <v/>
      </c>
      <c r="Q1117" s="16" t="n">
        <v>140336</v>
      </c>
      <c r="R1117" s="17" t="n">
        <v>0</v>
      </c>
      <c r="S1117" s="17" t="n">
        <v>0</v>
      </c>
      <c r="T1117" s="17" t="n">
        <v>0</v>
      </c>
      <c r="U1117" s="18" t="n">
        <v>0</v>
      </c>
    </row>
    <row r="1118">
      <c r="A1118" s="13" t="n">
        <v>46093</v>
      </c>
      <c r="B1118" s="4">
        <f>TEXT(A1118,"ddd")</f>
        <v/>
      </c>
      <c r="C1118" s="14" t="n">
        <v>5185.4</v>
      </c>
      <c r="D1118" s="14" t="n">
        <v>5197.8</v>
      </c>
      <c r="E1118" s="14" t="n">
        <v>5058.2</v>
      </c>
      <c r="F1118" s="14" t="n">
        <v>5125.8</v>
      </c>
      <c r="G1118" s="9">
        <f>F1118-F1117</f>
        <v/>
      </c>
      <c r="H1118" s="10">
        <f>IF(F1117=0,0,G1118/F1117)</f>
        <v/>
      </c>
      <c r="I1118" s="8">
        <f>D1118-E1118</f>
        <v/>
      </c>
      <c r="J1118" s="4">
        <f>IF(F1118&gt;C1118,"Up",IF(F1118&lt;C1118,"Down","Flat"))</f>
        <v/>
      </c>
      <c r="K1118" s="14" t="n">
        <v>166.28</v>
      </c>
      <c r="L1118" s="15" t="n">
        <v>52.43</v>
      </c>
      <c r="M1118" s="14" t="n">
        <v>5115.71</v>
      </c>
      <c r="N1118" s="14" t="n">
        <v>4918.44</v>
      </c>
      <c r="O1118" s="14" t="n">
        <v>4173.32</v>
      </c>
      <c r="P1118" s="4">
        <f>IF(O1118="","",IF(F1118&gt;O1118,"Above","Below"))</f>
        <v/>
      </c>
      <c r="Q1118" s="16" t="n">
        <v>153533</v>
      </c>
      <c r="R1118" s="17" t="n">
        <v>0</v>
      </c>
      <c r="S1118" s="17" t="n">
        <v>0</v>
      </c>
      <c r="T1118" s="17" t="n">
        <v>0</v>
      </c>
      <c r="U1118" s="18" t="n">
        <v>0</v>
      </c>
    </row>
    <row r="1119">
      <c r="A1119" s="13" t="n">
        <v>46094</v>
      </c>
      <c r="B1119" s="4">
        <f>TEXT(A1119,"ddd")</f>
        <v/>
      </c>
      <c r="C1119" s="14" t="n">
        <v>5084</v>
      </c>
      <c r="D1119" s="14" t="n">
        <v>5132.4</v>
      </c>
      <c r="E1119" s="14" t="n">
        <v>5014.1</v>
      </c>
      <c r="F1119" s="14" t="n">
        <v>5061.7</v>
      </c>
      <c r="G1119" s="9">
        <f>F1119-F1118</f>
        <v/>
      </c>
      <c r="H1119" s="10">
        <f>IF(F1118=0,0,G1119/F1118)</f>
        <v/>
      </c>
      <c r="I1119" s="8">
        <f>D1119-E1119</f>
        <v/>
      </c>
      <c r="J1119" s="4">
        <f>IF(F1119&gt;C1119,"Up",IF(F1119&lt;C1119,"Down","Flat"))</f>
        <v/>
      </c>
      <c r="K1119" s="14" t="n">
        <v>162.85</v>
      </c>
      <c r="L1119" s="15" t="n">
        <v>49.43</v>
      </c>
      <c r="M1119" s="14" t="n">
        <v>5110.57</v>
      </c>
      <c r="N1119" s="14" t="n">
        <v>4924.05</v>
      </c>
      <c r="O1119" s="14" t="n">
        <v>4182.16</v>
      </c>
      <c r="P1119" s="4">
        <f>IF(O1119="","",IF(F1119&gt;O1119,"Above","Below"))</f>
        <v/>
      </c>
      <c r="Q1119" s="16" t="n">
        <v>160333</v>
      </c>
      <c r="R1119" s="17" t="n">
        <v>0</v>
      </c>
      <c r="S1119" s="17" t="n">
        <v>0</v>
      </c>
      <c r="T1119" s="17" t="n">
        <v>0</v>
      </c>
      <c r="U1119" s="18" t="n">
        <v>0</v>
      </c>
    </row>
    <row r="1120">
      <c r="A1120" s="13" t="n">
        <v>46097</v>
      </c>
      <c r="B1120" s="4">
        <f>TEXT(A1120,"ddd")</f>
        <v/>
      </c>
      <c r="C1120" s="14" t="n">
        <v>5010</v>
      </c>
      <c r="D1120" s="14" t="n">
        <v>5044.5</v>
      </c>
      <c r="E1120" s="14" t="n">
        <v>4970.1</v>
      </c>
      <c r="F1120" s="14" t="n">
        <v>5002.2</v>
      </c>
      <c r="G1120" s="9">
        <f>F1120-F1119</f>
        <v/>
      </c>
      <c r="H1120" s="10">
        <f>IF(F1119=0,0,G1120/F1119)</f>
        <v/>
      </c>
      <c r="I1120" s="8">
        <f>D1120-E1120</f>
        <v/>
      </c>
      <c r="J1120" s="4">
        <f>IF(F1120&gt;C1120,"Up",IF(F1120&lt;C1120,"Down","Flat"))</f>
        <v/>
      </c>
      <c r="K1120" s="14" t="n">
        <v>157.76</v>
      </c>
      <c r="L1120" s="15" t="n">
        <v>46.76</v>
      </c>
      <c r="M1120" s="14" t="n">
        <v>5100.25</v>
      </c>
      <c r="N1120" s="14" t="n">
        <v>4927.12</v>
      </c>
      <c r="O1120" s="14" t="n">
        <v>4190.32</v>
      </c>
      <c r="P1120" s="4">
        <f>IF(O1120="","",IF(F1120&gt;O1120,"Above","Below"))</f>
        <v/>
      </c>
      <c r="Q1120" s="16" t="n">
        <v>170909</v>
      </c>
      <c r="R1120" s="17" t="n">
        <v>0</v>
      </c>
      <c r="S1120" s="17" t="n">
        <v>0</v>
      </c>
      <c r="T1120" s="17" t="n">
        <v>0</v>
      </c>
      <c r="U1120" s="18" t="n">
        <v>0</v>
      </c>
    </row>
    <row r="1121">
      <c r="A1121" s="13" t="n">
        <v>46098</v>
      </c>
      <c r="B1121" s="4">
        <f>TEXT(A1121,"ddd")</f>
        <v/>
      </c>
      <c r="C1121" s="14" t="n">
        <v>5012.2</v>
      </c>
      <c r="D1121" s="14" t="n">
        <v>5049.4</v>
      </c>
      <c r="E1121" s="14" t="n">
        <v>4977</v>
      </c>
      <c r="F1121" s="14" t="n">
        <v>5008.2</v>
      </c>
      <c r="G1121" s="9">
        <f>F1121-F1120</f>
        <v/>
      </c>
      <c r="H1121" s="10">
        <f>IF(F1120=0,0,G1121/F1120)</f>
        <v/>
      </c>
      <c r="I1121" s="8">
        <f>D1121-E1121</f>
        <v/>
      </c>
      <c r="J1121" s="4">
        <f>IF(F1121&gt;C1121,"Up",IF(F1121&lt;C1121,"Down","Flat"))</f>
        <v/>
      </c>
      <c r="K1121" s="14" t="n">
        <v>151.66</v>
      </c>
      <c r="L1121" s="15" t="n">
        <v>47.07</v>
      </c>
      <c r="M1121" s="14" t="n">
        <v>5091.48</v>
      </c>
      <c r="N1121" s="14" t="n">
        <v>4930.3</v>
      </c>
      <c r="O1121" s="14" t="n">
        <v>4198.46</v>
      </c>
      <c r="P1121" s="4">
        <f>IF(O1121="","",IF(F1121&gt;O1121,"Above","Below"))</f>
        <v/>
      </c>
      <c r="Q1121" s="16" t="n">
        <v>119419</v>
      </c>
      <c r="R1121" s="17" t="n">
        <v>0</v>
      </c>
      <c r="S1121" s="17" t="n">
        <v>0</v>
      </c>
      <c r="T1121" s="17" t="n">
        <v>0</v>
      </c>
      <c r="U1121" s="18" t="n">
        <v>0</v>
      </c>
    </row>
    <row r="1122">
      <c r="A1122" s="13" t="n">
        <v>46099</v>
      </c>
      <c r="B1122" s="4">
        <f>TEXT(A1122,"ddd")</f>
        <v/>
      </c>
      <c r="C1122" s="14" t="n">
        <v>5010.6</v>
      </c>
      <c r="D1122" s="14" t="n">
        <v>5022</v>
      </c>
      <c r="E1122" s="14" t="n">
        <v>4809.3</v>
      </c>
      <c r="F1122" s="14" t="n">
        <v>4896.2</v>
      </c>
      <c r="G1122" s="9">
        <f>F1122-F1121</f>
        <v/>
      </c>
      <c r="H1122" s="10">
        <f>IF(F1121=0,0,G1122/F1121)</f>
        <v/>
      </c>
      <c r="I1122" s="8">
        <f>D1122-E1122</f>
        <v/>
      </c>
      <c r="J1122" s="4">
        <f>IF(F1122&gt;C1122,"Up",IF(F1122&lt;C1122,"Down","Flat"))</f>
        <v/>
      </c>
      <c r="K1122" s="14" t="n">
        <v>156.02</v>
      </c>
      <c r="L1122" s="15" t="n">
        <v>42.12</v>
      </c>
      <c r="M1122" s="14" t="n">
        <v>5072.88</v>
      </c>
      <c r="N1122" s="14" t="n">
        <v>4928.96</v>
      </c>
      <c r="O1122" s="14" t="n">
        <v>4205.4</v>
      </c>
      <c r="P1122" s="4">
        <f>IF(O1122="","",IF(F1122&gt;O1122,"Above","Below"))</f>
        <v/>
      </c>
      <c r="Q1122" s="16" t="n">
        <v>217316</v>
      </c>
      <c r="R1122" s="17" t="n">
        <v>0</v>
      </c>
      <c r="S1122" s="17" t="n">
        <v>0</v>
      </c>
      <c r="T1122" s="17" t="n">
        <v>0</v>
      </c>
      <c r="U1122" s="18" t="n">
        <v>0</v>
      </c>
    </row>
    <row r="1123">
      <c r="A1123" s="13" t="n">
        <v>46100</v>
      </c>
      <c r="B1123" s="4">
        <f>TEXT(A1123,"ddd")</f>
        <v/>
      </c>
      <c r="C1123" s="14" t="n">
        <v>4828</v>
      </c>
      <c r="D1123" s="14" t="n">
        <v>4868.7</v>
      </c>
      <c r="E1123" s="14" t="n">
        <v>4505</v>
      </c>
      <c r="F1123" s="14" t="n">
        <v>4605.7</v>
      </c>
      <c r="G1123" s="9">
        <f>F1123-F1122</f>
        <v/>
      </c>
      <c r="H1123" s="10">
        <f>IF(F1122=0,0,G1123/F1122)</f>
        <v/>
      </c>
      <c r="I1123" s="8">
        <f>D1123-E1123</f>
        <v/>
      </c>
      <c r="J1123" s="4">
        <f>IF(F1123&gt;C1123,"Up",IF(F1123&lt;C1123,"Down","Flat"))</f>
        <v/>
      </c>
      <c r="K1123" s="14" t="n">
        <v>172.82</v>
      </c>
      <c r="L1123" s="15" t="n">
        <v>32.56</v>
      </c>
      <c r="M1123" s="14" t="n">
        <v>5028.39</v>
      </c>
      <c r="N1123" s="14" t="n">
        <v>4916.28</v>
      </c>
      <c r="O1123" s="14" t="n">
        <v>4209.38</v>
      </c>
      <c r="P1123" s="4">
        <f>IF(O1123="","",IF(F1123&gt;O1123,"Above","Below"))</f>
        <v/>
      </c>
      <c r="Q1123" s="16" t="n">
        <v>303828</v>
      </c>
      <c r="R1123" s="17" t="n">
        <v>0</v>
      </c>
      <c r="S1123" s="17" t="n">
        <v>0</v>
      </c>
      <c r="T1123" s="17" t="n">
        <v>0</v>
      </c>
      <c r="U1123" s="18" t="n">
        <v>0</v>
      </c>
    </row>
    <row r="1124">
      <c r="A1124" s="13" t="n">
        <v>46101</v>
      </c>
      <c r="B1124" s="4">
        <f>TEXT(A1124,"ddd")</f>
        <v/>
      </c>
      <c r="C1124" s="14" t="n">
        <v>4653.9</v>
      </c>
      <c r="D1124" s="14" t="n">
        <v>4738.2</v>
      </c>
      <c r="E1124" s="14" t="n">
        <v>4478.4</v>
      </c>
      <c r="F1124" s="14" t="n">
        <v>4574.9</v>
      </c>
      <c r="G1124" s="9">
        <f>F1124-F1123</f>
        <v/>
      </c>
      <c r="H1124" s="10">
        <f>IF(F1123=0,0,G1124/F1123)</f>
        <v/>
      </c>
      <c r="I1124" s="8">
        <f>D1124-E1124</f>
        <v/>
      </c>
      <c r="J1124" s="4">
        <f>IF(F1124&gt;C1124,"Up",IF(F1124&lt;C1124,"Down","Flat"))</f>
        <v/>
      </c>
      <c r="K1124" s="14" t="n">
        <v>179.03</v>
      </c>
      <c r="L1124" s="15" t="n">
        <v>31.74</v>
      </c>
      <c r="M1124" s="14" t="n">
        <v>4985.2</v>
      </c>
      <c r="N1124" s="14" t="n">
        <v>4902.9</v>
      </c>
      <c r="O1124" s="14" t="n">
        <v>4213.02</v>
      </c>
      <c r="P1124" s="4">
        <f>IF(O1124="","",IF(F1124&gt;O1124,"Above","Below"))</f>
        <v/>
      </c>
      <c r="Q1124" s="16" t="n">
        <v>226870</v>
      </c>
      <c r="R1124" s="17" t="n">
        <v>0</v>
      </c>
      <c r="S1124" s="17" t="n">
        <v>0</v>
      </c>
      <c r="T1124" s="17" t="n">
        <v>0</v>
      </c>
      <c r="U1124" s="18" t="n">
        <v>0</v>
      </c>
    </row>
    <row r="1125">
      <c r="A1125" s="13" t="n">
        <v>46104</v>
      </c>
      <c r="B1125" s="4">
        <f>TEXT(A1125,"ddd")</f>
        <v/>
      </c>
      <c r="C1125" s="14" t="n">
        <v>4450</v>
      </c>
      <c r="D1125" s="14" t="n">
        <v>4537.1</v>
      </c>
      <c r="E1125" s="14" t="n">
        <v>4100</v>
      </c>
      <c r="F1125" s="14" t="n">
        <v>4407.3</v>
      </c>
      <c r="G1125" s="9">
        <f>F1125-F1124</f>
        <v/>
      </c>
      <c r="H1125" s="10">
        <f>IF(F1124=0,0,G1125/F1124)</f>
        <v/>
      </c>
      <c r="I1125" s="8">
        <f>D1125-E1125</f>
        <v/>
      </c>
      <c r="J1125" s="4">
        <f>IF(F1125&gt;C1125,"Up",IF(F1125&lt;C1125,"Down","Flat"))</f>
        <v/>
      </c>
      <c r="K1125" s="14" t="n">
        <v>200.17</v>
      </c>
      <c r="L1125" s="15" t="n">
        <v>27.65</v>
      </c>
      <c r="M1125" s="14" t="n">
        <v>4930.16</v>
      </c>
      <c r="N1125" s="14" t="n">
        <v>4883.46</v>
      </c>
      <c r="O1125" s="14" t="n">
        <v>4214.95</v>
      </c>
      <c r="P1125" s="4">
        <f>IF(O1125="","",IF(F1125&gt;O1125,"Above","Below"))</f>
        <v/>
      </c>
      <c r="Q1125" s="16" t="n">
        <v>398666</v>
      </c>
      <c r="R1125" s="17" t="n">
        <v>0</v>
      </c>
      <c r="S1125" s="17" t="n">
        <v>0</v>
      </c>
      <c r="T1125" s="17" t="n">
        <v>0</v>
      </c>
      <c r="U1125" s="18" t="n">
        <v>0</v>
      </c>
    </row>
    <row r="1126">
      <c r="A1126" s="13" t="n">
        <v>46105</v>
      </c>
      <c r="B1126" s="4">
        <f>TEXT(A1126,"ddd")</f>
        <v/>
      </c>
      <c r="C1126" s="14" t="n">
        <v>4414.8</v>
      </c>
      <c r="D1126" s="14" t="n">
        <v>4485.6</v>
      </c>
      <c r="E1126" s="14" t="n">
        <v>4306.3</v>
      </c>
      <c r="F1126" s="14" t="n">
        <v>4402</v>
      </c>
      <c r="G1126" s="9">
        <f>F1126-F1125</f>
        <v/>
      </c>
      <c r="H1126" s="10">
        <f>IF(F1125=0,0,G1126/F1125)</f>
        <v/>
      </c>
      <c r="I1126" s="8">
        <f>D1126-E1126</f>
        <v/>
      </c>
      <c r="J1126" s="4">
        <f>IF(F1126&gt;C1126,"Up",IF(F1126&lt;C1126,"Down","Flat"))</f>
        <v/>
      </c>
      <c r="K1126" s="14" t="n">
        <v>198.68</v>
      </c>
      <c r="L1126" s="15" t="n">
        <v>27.53</v>
      </c>
      <c r="M1126" s="14" t="n">
        <v>4879.86</v>
      </c>
      <c r="N1126" s="14" t="n">
        <v>4864.58</v>
      </c>
      <c r="O1126" s="14" t="n">
        <v>4216.81</v>
      </c>
      <c r="P1126" s="4">
        <f>IF(O1126="","",IF(F1126&gt;O1126,"Above","Below"))</f>
        <v/>
      </c>
      <c r="Q1126" s="16" t="n">
        <v>209745</v>
      </c>
      <c r="R1126" s="17" t="n">
        <v>0</v>
      </c>
      <c r="S1126" s="17" t="n">
        <v>0</v>
      </c>
      <c r="T1126" s="17" t="n">
        <v>0</v>
      </c>
      <c r="U1126" s="18" t="n">
        <v>0</v>
      </c>
    </row>
    <row r="1127">
      <c r="A1127" s="13" t="n">
        <v>46106</v>
      </c>
      <c r="B1127" s="4">
        <f>TEXT(A1127,"ddd")</f>
        <v/>
      </c>
      <c r="C1127" s="14" t="n">
        <v>4473.5</v>
      </c>
      <c r="D1127" s="14" t="n">
        <v>4601</v>
      </c>
      <c r="E1127" s="14" t="n">
        <v>4458.2</v>
      </c>
      <c r="F1127" s="14" t="n">
        <v>4552.3</v>
      </c>
      <c r="G1127" s="9">
        <f>F1127-F1126</f>
        <v/>
      </c>
      <c r="H1127" s="10">
        <f>IF(F1126=0,0,G1127/F1126)</f>
        <v/>
      </c>
      <c r="I1127" s="8">
        <f>D1127-E1127</f>
        <v/>
      </c>
      <c r="J1127" s="4">
        <f>IF(F1127&gt;C1127,"Up",IF(F1127&lt;C1127,"Down","Flat"))</f>
        <v/>
      </c>
      <c r="K1127" s="14" t="n">
        <v>198.7</v>
      </c>
      <c r="L1127" s="15" t="n">
        <v>36.06</v>
      </c>
      <c r="M1127" s="14" t="n">
        <v>4848.66</v>
      </c>
      <c r="N1127" s="14" t="n">
        <v>4852.33</v>
      </c>
      <c r="O1127" s="14" t="n">
        <v>4220.15</v>
      </c>
      <c r="P1127" s="4">
        <f>IF(O1127="","",IF(F1127&gt;O1127,"Above","Below"))</f>
        <v/>
      </c>
      <c r="Q1127" s="16" t="n">
        <v>245178</v>
      </c>
      <c r="R1127" s="17" t="n">
        <v>0</v>
      </c>
      <c r="S1127" s="17" t="n">
        <v>0</v>
      </c>
      <c r="T1127" s="17" t="n">
        <v>0</v>
      </c>
      <c r="U1127" s="18" t="n">
        <v>0</v>
      </c>
    </row>
    <row r="1128">
      <c r="A1128" s="13" t="n">
        <v>46107</v>
      </c>
      <c r="B1128" s="4">
        <f>TEXT(A1128,"ddd")</f>
        <v/>
      </c>
      <c r="C1128" s="14" t="n">
        <v>4508.9</v>
      </c>
      <c r="D1128" s="14" t="n">
        <v>4541.6</v>
      </c>
      <c r="E1128" s="14" t="n">
        <v>4348.2</v>
      </c>
      <c r="F1128" s="14" t="n">
        <v>4376.3</v>
      </c>
      <c r="G1128" s="9">
        <f>F1128-F1127</f>
        <v/>
      </c>
      <c r="H1128" s="10">
        <f>IF(F1127=0,0,G1128/F1127)</f>
        <v/>
      </c>
      <c r="I1128" s="8">
        <f>D1128-E1128</f>
        <v/>
      </c>
      <c r="J1128" s="4">
        <f>IF(F1128&gt;C1128,"Up",IF(F1128&lt;C1128,"Down","Flat"))</f>
        <v/>
      </c>
      <c r="K1128" s="14" t="n">
        <v>199.09</v>
      </c>
      <c r="L1128" s="15" t="n">
        <v>31.4</v>
      </c>
      <c r="M1128" s="14" t="n">
        <v>4803.68</v>
      </c>
      <c r="N1128" s="14" t="n">
        <v>4833.67</v>
      </c>
      <c r="O1128" s="14" t="n">
        <v>4221.7</v>
      </c>
      <c r="P1128" s="4">
        <f>IF(O1128="","",IF(F1128&gt;O1128,"Above","Below"))</f>
        <v/>
      </c>
      <c r="Q1128" s="16" t="n">
        <v>247440</v>
      </c>
      <c r="R1128" s="17" t="n">
        <v>0</v>
      </c>
      <c r="S1128" s="17" t="n">
        <v>0</v>
      </c>
      <c r="T1128" s="17" t="n">
        <v>0</v>
      </c>
      <c r="U1128" s="18" t="n">
        <v>0</v>
      </c>
    </row>
    <row r="1129">
      <c r="A1129" s="13" t="n">
        <v>46108</v>
      </c>
      <c r="B1129" s="4">
        <f>TEXT(A1129,"ddd")</f>
        <v/>
      </c>
      <c r="C1129" s="14" t="n">
        <v>4371.8</v>
      </c>
      <c r="D1129" s="14" t="n">
        <v>4552.1</v>
      </c>
      <c r="E1129" s="14" t="n">
        <v>4369.1</v>
      </c>
      <c r="F1129" s="14" t="n">
        <v>4492.5</v>
      </c>
      <c r="G1129" s="9">
        <f>F1129-F1128</f>
        <v/>
      </c>
      <c r="H1129" s="10">
        <f>IF(F1128=0,0,G1129/F1128)</f>
        <v/>
      </c>
      <c r="I1129" s="8">
        <f>D1129-E1129</f>
        <v/>
      </c>
      <c r="J1129" s="4">
        <f>IF(F1129&gt;C1129,"Up",IF(F1129&lt;C1129,"Down","Flat"))</f>
        <v/>
      </c>
      <c r="K1129" s="14" t="n">
        <v>197.94</v>
      </c>
      <c r="L1129" s="15" t="n">
        <v>37.18</v>
      </c>
      <c r="M1129" s="14" t="n">
        <v>4774.04</v>
      </c>
      <c r="N1129" s="14" t="n">
        <v>4820.29</v>
      </c>
      <c r="O1129" s="14" t="n">
        <v>4224.4</v>
      </c>
      <c r="P1129" s="4">
        <f>IF(O1129="","",IF(F1129&gt;O1129,"Above","Below"))</f>
        <v/>
      </c>
      <c r="Q1129" s="16" t="n">
        <v>74348</v>
      </c>
      <c r="R1129" s="17" t="n">
        <v>0</v>
      </c>
      <c r="S1129" s="17" t="n">
        <v>0</v>
      </c>
      <c r="T1129" s="17" t="n">
        <v>0</v>
      </c>
      <c r="U1129" s="18" t="n">
        <v>0</v>
      </c>
    </row>
    <row r="1130">
      <c r="A1130" s="13" t="n">
        <v>46111</v>
      </c>
      <c r="B1130" s="4">
        <f>TEXT(A1130,"ddd")</f>
        <v/>
      </c>
      <c r="C1130" s="14" t="n">
        <v>4482.8</v>
      </c>
      <c r="D1130" s="14" t="n">
        <v>4579.1</v>
      </c>
      <c r="E1130" s="14" t="n">
        <v>4413.4</v>
      </c>
      <c r="F1130" s="14" t="n">
        <v>4526</v>
      </c>
      <c r="G1130" s="9">
        <f>F1130-F1129</f>
        <v/>
      </c>
      <c r="H1130" s="10">
        <f>IF(F1129=0,0,G1130/F1129)</f>
        <v/>
      </c>
      <c r="I1130" s="8">
        <f>D1130-E1130</f>
        <v/>
      </c>
      <c r="J1130" s="4">
        <f>IF(F1130&gt;C1130,"Up",IF(F1130&lt;C1130,"Down","Flat"))</f>
        <v/>
      </c>
      <c r="K1130" s="14" t="n">
        <v>195.63</v>
      </c>
      <c r="L1130" s="15" t="n">
        <v>38.78</v>
      </c>
      <c r="M1130" s="14" t="n">
        <v>4750.42</v>
      </c>
      <c r="N1130" s="14" t="n">
        <v>4808.75</v>
      </c>
      <c r="O1130" s="14" t="n">
        <v>4227.4</v>
      </c>
      <c r="P1130" s="4">
        <f>IF(O1130="","",IF(F1130&gt;O1130,"Above","Below"))</f>
        <v/>
      </c>
      <c r="Q1130" s="16" t="n">
        <v>10816</v>
      </c>
      <c r="R1130" s="17" t="n">
        <v>0</v>
      </c>
      <c r="S1130" s="17" t="n">
        <v>0</v>
      </c>
      <c r="T1130" s="17" t="n">
        <v>0</v>
      </c>
      <c r="U1130" s="18" t="n">
        <v>0</v>
      </c>
    </row>
    <row r="1131">
      <c r="A1131" s="13" t="n">
        <v>46112</v>
      </c>
      <c r="B1131" s="4">
        <f>TEXT(A1131,"ddd")</f>
        <v/>
      </c>
      <c r="C1131" s="14" t="n">
        <v>4510</v>
      </c>
      <c r="D1131" s="14" t="n">
        <v>4684.1</v>
      </c>
      <c r="E1131" s="14" t="n">
        <v>4508.6</v>
      </c>
      <c r="F1131" s="14" t="n">
        <v>4647.6</v>
      </c>
      <c r="G1131" s="9">
        <f>F1131-F1130</f>
        <v/>
      </c>
      <c r="H1131" s="10">
        <f>IF(F1130=0,0,G1131/F1130)</f>
        <v/>
      </c>
      <c r="I1131" s="8">
        <f>D1131-E1131</f>
        <v/>
      </c>
      <c r="J1131" s="4">
        <f>IF(F1131&gt;C1131,"Up",IF(F1131&lt;C1131,"Down","Flat"))</f>
        <v/>
      </c>
      <c r="K1131" s="14" t="n">
        <v>194.2</v>
      </c>
      <c r="L1131" s="15" t="n">
        <v>44.32</v>
      </c>
      <c r="M1131" s="14" t="n">
        <v>4740.63</v>
      </c>
      <c r="N1131" s="14" t="n">
        <v>4802.43</v>
      </c>
      <c r="O1131" s="14" t="n">
        <v>4231.58</v>
      </c>
      <c r="P1131" s="4">
        <f>IF(O1131="","",IF(F1131&gt;O1131,"Above","Below"))</f>
        <v/>
      </c>
      <c r="Q1131" s="16" t="n">
        <v>176389</v>
      </c>
      <c r="R1131" s="17" t="n">
        <v>0</v>
      </c>
      <c r="S1131" s="17" t="n">
        <v>0</v>
      </c>
      <c r="T1131" s="17" t="n">
        <v>0</v>
      </c>
      <c r="U1131" s="18" t="n">
        <v>0</v>
      </c>
    </row>
    <row r="1132">
      <c r="A1132" s="13" t="n">
        <v>46113</v>
      </c>
      <c r="B1132" s="4">
        <f>TEXT(A1132,"ddd")</f>
        <v/>
      </c>
      <c r="C1132" s="14" t="n">
        <v>4698.4</v>
      </c>
      <c r="D1132" s="14" t="n">
        <v>4821</v>
      </c>
      <c r="E1132" s="14" t="n">
        <v>4690</v>
      </c>
      <c r="F1132" s="14" t="n">
        <v>4813.1</v>
      </c>
      <c r="G1132" s="9">
        <f>F1132-F1131</f>
        <v/>
      </c>
      <c r="H1132" s="10">
        <f>IF(F1131=0,0,G1132/F1131)</f>
        <v/>
      </c>
      <c r="I1132" s="8">
        <f>D1132-E1132</f>
        <v/>
      </c>
      <c r="J1132" s="4">
        <f>IF(F1132&gt;C1132,"Up",IF(F1132&lt;C1132,"Down","Flat"))</f>
        <v/>
      </c>
      <c r="K1132" s="14" t="n">
        <v>192.71</v>
      </c>
      <c r="L1132" s="15" t="n">
        <v>50.85</v>
      </c>
      <c r="M1132" s="14" t="n">
        <v>4747.53</v>
      </c>
      <c r="N1132" s="14" t="n">
        <v>4802.85</v>
      </c>
      <c r="O1132" s="14" t="n">
        <v>4237.37</v>
      </c>
      <c r="P1132" s="4">
        <f>IF(O1132="","",IF(F1132&gt;O1132,"Above","Below"))</f>
        <v/>
      </c>
      <c r="Q1132" s="16" t="n">
        <v>166758</v>
      </c>
      <c r="R1132" s="17" t="n">
        <v>0</v>
      </c>
      <c r="S1132" s="17" t="n">
        <v>0</v>
      </c>
      <c r="T1132" s="17" t="n">
        <v>0</v>
      </c>
      <c r="U1132" s="18" t="n">
        <v>0</v>
      </c>
    </row>
    <row r="1133">
      <c r="A1133" s="13" t="n">
        <v>46114</v>
      </c>
      <c r="B1133" s="4">
        <f>TEXT(A1133,"ddd")</f>
        <v/>
      </c>
      <c r="C1133" s="14" t="n">
        <v>4783</v>
      </c>
      <c r="D1133" s="14" t="n">
        <v>4825.9</v>
      </c>
      <c r="E1133" s="14" t="n">
        <v>4580.4</v>
      </c>
      <c r="F1133" s="14" t="n">
        <v>4679.7</v>
      </c>
      <c r="G1133" s="9">
        <f>F1133-F1132</f>
        <v/>
      </c>
      <c r="H1133" s="10">
        <f>IF(F1132=0,0,G1133/F1132)</f>
        <v/>
      </c>
      <c r="I1133" s="8">
        <f>D1133-E1133</f>
        <v/>
      </c>
      <c r="J1133" s="4">
        <f>IF(F1133&gt;C1133,"Up",IF(F1133&lt;C1133,"Down","Flat"))</f>
        <v/>
      </c>
      <c r="K1133" s="14" t="n">
        <v>196.48</v>
      </c>
      <c r="L1133" s="15" t="n">
        <v>46.15</v>
      </c>
      <c r="M1133" s="14" t="n">
        <v>4741.07</v>
      </c>
      <c r="N1133" s="14" t="n">
        <v>4798.02</v>
      </c>
      <c r="O1133" s="14" t="n">
        <v>4241.77</v>
      </c>
      <c r="P1133" s="4">
        <f>IF(O1133="","",IF(F1133&gt;O1133,"Above","Below"))</f>
        <v/>
      </c>
      <c r="Q1133" s="16" t="n">
        <v>0</v>
      </c>
      <c r="R1133" s="17" t="n">
        <v>0</v>
      </c>
      <c r="S1133" s="17" t="n">
        <v>0</v>
      </c>
      <c r="T1133" s="17" t="n">
        <v>0</v>
      </c>
      <c r="U1133" s="18" t="n">
        <v>0</v>
      </c>
    </row>
    <row r="1134">
      <c r="A1134" s="13" t="n">
        <v>46118</v>
      </c>
      <c r="B1134" s="4">
        <f>TEXT(A1134,"ddd")</f>
        <v/>
      </c>
      <c r="C1134" s="14" t="n">
        <v>4675</v>
      </c>
      <c r="D1134" s="14" t="n">
        <v>4733.1</v>
      </c>
      <c r="E1134" s="14" t="n">
        <v>4626.2</v>
      </c>
      <c r="F1134" s="14" t="n">
        <v>4684.7</v>
      </c>
      <c r="G1134" s="9">
        <f>F1134-F1133</f>
        <v/>
      </c>
      <c r="H1134" s="10">
        <f>IF(F1133=0,0,G1134/F1133)</f>
        <v/>
      </c>
      <c r="I1134" s="8">
        <f>D1134-E1134</f>
        <v/>
      </c>
      <c r="J1134" s="4">
        <f>IF(F1134&gt;C1134,"Up",IF(F1134&lt;C1134,"Down","Flat"))</f>
        <v/>
      </c>
      <c r="K1134" s="14" t="n">
        <v>190.08</v>
      </c>
      <c r="L1134" s="15" t="n">
        <v>46.35</v>
      </c>
      <c r="M1134" s="14" t="n">
        <v>4735.7</v>
      </c>
      <c r="N1134" s="14" t="n">
        <v>4793.57</v>
      </c>
      <c r="O1134" s="14" t="n">
        <v>4246.18</v>
      </c>
      <c r="P1134" s="4">
        <f>IF(O1134="","",IF(F1134&gt;O1134,"Above","Below"))</f>
        <v/>
      </c>
      <c r="Q1134" s="16" t="n">
        <v>89405</v>
      </c>
      <c r="R1134" s="17" t="n">
        <v>0</v>
      </c>
      <c r="S1134" s="17" t="n">
        <v>0</v>
      </c>
      <c r="T1134" s="17" t="n">
        <v>0</v>
      </c>
      <c r="U1134" s="18" t="n">
        <v>0</v>
      </c>
    </row>
    <row r="1135">
      <c r="A1135" s="13" t="n">
        <v>46119</v>
      </c>
      <c r="B1135" s="4">
        <f>TEXT(A1135,"ddd")</f>
        <v/>
      </c>
      <c r="C1135" s="14" t="n">
        <v>4678.6</v>
      </c>
      <c r="D1135" s="14" t="n">
        <v>4745.7</v>
      </c>
      <c r="E1135" s="14" t="n">
        <v>4631.9</v>
      </c>
      <c r="F1135" s="14" t="n">
        <v>4684.7</v>
      </c>
      <c r="G1135" s="9">
        <f>F1135-F1134</f>
        <v/>
      </c>
      <c r="H1135" s="10">
        <f>IF(F1134=0,0,G1135/F1134)</f>
        <v/>
      </c>
      <c r="I1135" s="8">
        <f>D1135-E1135</f>
        <v/>
      </c>
      <c r="J1135" s="4">
        <f>IF(F1135&gt;C1135,"Up",IF(F1135&lt;C1135,"Down","Flat"))</f>
        <v/>
      </c>
      <c r="K1135" s="14" t="n">
        <v>184.63</v>
      </c>
      <c r="L1135" s="15" t="n">
        <v>46.35</v>
      </c>
      <c r="M1135" s="14" t="n">
        <v>4730.84</v>
      </c>
      <c r="N1135" s="14" t="n">
        <v>4789.3</v>
      </c>
      <c r="O1135" s="14" t="n">
        <v>4250.54</v>
      </c>
      <c r="P1135" s="4">
        <f>IF(O1135="","",IF(F1135&gt;O1135,"Above","Below"))</f>
        <v/>
      </c>
      <c r="Q1135" s="16" t="n">
        <v>145711</v>
      </c>
      <c r="R1135" s="17" t="n">
        <v>0</v>
      </c>
      <c r="S1135" s="17" t="n">
        <v>0</v>
      </c>
      <c r="T1135" s="17" t="n">
        <v>0</v>
      </c>
      <c r="U1135" s="18" t="n">
        <v>0</v>
      </c>
    </row>
    <row r="1136">
      <c r="A1136" s="13" t="n">
        <v>46120</v>
      </c>
      <c r="B1136" s="4">
        <f>TEXT(A1136,"ddd")</f>
        <v/>
      </c>
      <c r="C1136" s="14" t="n">
        <v>4747.2</v>
      </c>
      <c r="D1136" s="14" t="n">
        <v>4888</v>
      </c>
      <c r="E1136" s="14" t="n">
        <v>4720.6</v>
      </c>
      <c r="F1136" s="14" t="n">
        <v>4777.2</v>
      </c>
      <c r="G1136" s="9">
        <f>F1136-F1135</f>
        <v/>
      </c>
      <c r="H1136" s="10">
        <f>IF(F1135=0,0,G1136/F1135)</f>
        <v/>
      </c>
      <c r="I1136" s="8">
        <f>D1136-E1136</f>
        <v/>
      </c>
      <c r="J1136" s="4">
        <f>IF(F1136&gt;C1136,"Up",IF(F1136&lt;C1136,"Down","Flat"))</f>
        <v/>
      </c>
      <c r="K1136" s="14" t="n">
        <v>185.97</v>
      </c>
      <c r="L1136" s="15" t="n">
        <v>50.31</v>
      </c>
      <c r="M1136" s="14" t="n">
        <v>4735.26</v>
      </c>
      <c r="N1136" s="14" t="n">
        <v>4788.83</v>
      </c>
      <c r="O1136" s="14" t="n">
        <v>4255.78</v>
      </c>
      <c r="P1136" s="4">
        <f>IF(O1136="","",IF(F1136&gt;O1136,"Above","Below"))</f>
        <v/>
      </c>
      <c r="Q1136" s="16" t="n">
        <v>215119</v>
      </c>
      <c r="R1136" s="17" t="n">
        <v>0</v>
      </c>
      <c r="S1136" s="17" t="n">
        <v>0</v>
      </c>
      <c r="T1136" s="17" t="n">
        <v>0</v>
      </c>
      <c r="U1136" s="18" t="n">
        <v>0</v>
      </c>
    </row>
    <row r="1137">
      <c r="A1137" s="13" t="n">
        <v>46121</v>
      </c>
      <c r="B1137" s="4">
        <f>TEXT(A1137,"ddd")</f>
        <v/>
      </c>
      <c r="C1137" s="14" t="n">
        <v>4744.8</v>
      </c>
      <c r="D1137" s="14" t="n">
        <v>4826</v>
      </c>
      <c r="E1137" s="14" t="n">
        <v>4718.6</v>
      </c>
      <c r="F1137" s="14" t="n">
        <v>4818</v>
      </c>
      <c r="G1137" s="9">
        <f>F1137-F1136</f>
        <v/>
      </c>
      <c r="H1137" s="10">
        <f>IF(F1136=0,0,G1137/F1136)</f>
        <v/>
      </c>
      <c r="I1137" s="8">
        <f>D1137-E1137</f>
        <v/>
      </c>
      <c r="J1137" s="4">
        <f>IF(F1137&gt;C1137,"Up",IF(F1137&lt;C1137,"Down","Flat"))</f>
        <v/>
      </c>
      <c r="K1137" s="14" t="n">
        <v>180.36</v>
      </c>
      <c r="L1137" s="15" t="n">
        <v>51.99</v>
      </c>
      <c r="M1137" s="14" t="n">
        <v>4743.14</v>
      </c>
      <c r="N1137" s="14" t="n">
        <v>4789.97</v>
      </c>
      <c r="O1137" s="14" t="n">
        <v>4261.37</v>
      </c>
      <c r="P1137" s="4">
        <f>IF(O1137="","",IF(F1137&gt;O1137,"Above","Below"))</f>
        <v/>
      </c>
      <c r="Q1137" s="16" t="n">
        <v>133629</v>
      </c>
      <c r="R1137" s="17" t="n">
        <v>0</v>
      </c>
      <c r="S1137" s="17" t="n">
        <v>0</v>
      </c>
      <c r="T1137" s="17" t="n">
        <v>0</v>
      </c>
      <c r="U1137" s="18" t="n">
        <v>0</v>
      </c>
    </row>
    <row r="1138">
      <c r="A1138" s="13" t="n">
        <v>46122</v>
      </c>
      <c r="B1138" s="4">
        <f>TEXT(A1138,"ddd")</f>
        <v/>
      </c>
      <c r="C1138" s="14" t="n">
        <v>4790.5</v>
      </c>
      <c r="D1138" s="14" t="n">
        <v>4820</v>
      </c>
      <c r="E1138" s="14" t="n">
        <v>4752.7</v>
      </c>
      <c r="F1138" s="14" t="n">
        <v>4787.4</v>
      </c>
      <c r="G1138" s="9">
        <f>F1138-F1137</f>
        <v/>
      </c>
      <c r="H1138" s="10">
        <f>IF(F1137=0,0,G1138/F1137)</f>
        <v/>
      </c>
      <c r="I1138" s="8">
        <f>D1138-E1138</f>
        <v/>
      </c>
      <c r="J1138" s="4">
        <f>IF(F1138&gt;C1138,"Up",IF(F1138&lt;C1138,"Down","Flat"))</f>
        <v/>
      </c>
      <c r="K1138" s="14" t="n">
        <v>172.28</v>
      </c>
      <c r="L1138" s="15" t="n">
        <v>50.61</v>
      </c>
      <c r="M1138" s="14" t="n">
        <v>4747.35</v>
      </c>
      <c r="N1138" s="14" t="n">
        <v>4789.87</v>
      </c>
      <c r="O1138" s="14" t="n">
        <v>4266.61</v>
      </c>
      <c r="P1138" s="4">
        <f>IF(O1138="","",IF(F1138&gt;O1138,"Above","Below"))</f>
        <v/>
      </c>
      <c r="Q1138" s="16" t="n">
        <v>121566</v>
      </c>
      <c r="R1138" s="17" t="n">
        <v>0</v>
      </c>
      <c r="S1138" s="17" t="n">
        <v>0</v>
      </c>
      <c r="T1138" s="17" t="n">
        <v>0</v>
      </c>
      <c r="U1138" s="18" t="n">
        <v>0</v>
      </c>
    </row>
    <row r="1139">
      <c r="A1139" s="13" t="n">
        <v>46125</v>
      </c>
      <c r="B1139" s="4">
        <f>TEXT(A1139,"ddd")</f>
        <v/>
      </c>
      <c r="C1139" s="14" t="n">
        <v>4710</v>
      </c>
      <c r="D1139" s="14" t="n">
        <v>4774.4</v>
      </c>
      <c r="E1139" s="14" t="n">
        <v>4626</v>
      </c>
      <c r="F1139" s="14" t="n">
        <v>4767.4</v>
      </c>
      <c r="G1139" s="9">
        <f>F1139-F1138</f>
        <v/>
      </c>
      <c r="H1139" s="10">
        <f>IF(F1138=0,0,G1139/F1138)</f>
        <v/>
      </c>
      <c r="I1139" s="8">
        <f>D1139-E1139</f>
        <v/>
      </c>
      <c r="J1139" s="4">
        <f>IF(F1139&gt;C1139,"Up",IF(F1139&lt;C1139,"Down","Flat"))</f>
        <v/>
      </c>
      <c r="K1139" s="14" t="n">
        <v>171.5</v>
      </c>
      <c r="L1139" s="15" t="n">
        <v>49.68</v>
      </c>
      <c r="M1139" s="14" t="n">
        <v>4749.26</v>
      </c>
      <c r="N1139" s="14" t="n">
        <v>4788.99</v>
      </c>
      <c r="O1139" s="14" t="n">
        <v>4271.59</v>
      </c>
      <c r="P1139" s="4">
        <f>IF(O1139="","",IF(F1139&gt;O1139,"Above","Below"))</f>
        <v/>
      </c>
      <c r="Q1139" s="16" t="n">
        <v>127322</v>
      </c>
      <c r="R1139" s="17" t="n">
        <v>0</v>
      </c>
      <c r="S1139" s="17" t="n">
        <v>0</v>
      </c>
      <c r="T1139" s="17" t="n">
        <v>0</v>
      </c>
      <c r="U1139" s="18" t="n">
        <v>0</v>
      </c>
    </row>
    <row r="1140">
      <c r="A1140" s="13" t="n">
        <v>46126</v>
      </c>
      <c r="B1140" s="4">
        <f>TEXT(A1140,"ddd")</f>
        <v/>
      </c>
      <c r="C1140" s="14" t="n">
        <v>4769.3</v>
      </c>
      <c r="D1140" s="14" t="n">
        <v>4870.3</v>
      </c>
      <c r="E1140" s="14" t="n">
        <v>4767.6</v>
      </c>
      <c r="F1140" s="14" t="n">
        <v>4850.1</v>
      </c>
      <c r="G1140" s="9">
        <f>F1140-F1139</f>
        <v/>
      </c>
      <c r="H1140" s="10">
        <f>IF(F1139=0,0,G1140/F1139)</f>
        <v/>
      </c>
      <c r="I1140" s="8">
        <f>D1140-E1140</f>
        <v/>
      </c>
      <c r="J1140" s="4">
        <f>IF(F1140&gt;C1140,"Up",IF(F1140&lt;C1140,"Down","Flat"))</f>
        <v/>
      </c>
      <c r="K1140" s="14" t="n">
        <v>166.6</v>
      </c>
      <c r="L1140" s="15" t="n">
        <v>53.49</v>
      </c>
      <c r="M1140" s="14" t="n">
        <v>4758.87</v>
      </c>
      <c r="N1140" s="14" t="n">
        <v>4791.39</v>
      </c>
      <c r="O1140" s="14" t="n">
        <v>4277.35</v>
      </c>
      <c r="P1140" s="4">
        <f>IF(O1140="","",IF(F1140&gt;O1140,"Above","Below"))</f>
        <v/>
      </c>
      <c r="Q1140" s="16" t="n">
        <v>129586</v>
      </c>
      <c r="R1140" s="17" t="n">
        <v>0</v>
      </c>
      <c r="S1140" s="17" t="n">
        <v>0</v>
      </c>
      <c r="T1140" s="17" t="n">
        <v>0</v>
      </c>
      <c r="U1140" s="18" t="n">
        <v>0</v>
      </c>
    </row>
    <row r="1141">
      <c r="A1141" s="13" t="n">
        <v>46127</v>
      </c>
      <c r="B1141" s="4">
        <f>TEXT(A1141,"ddd")</f>
        <v/>
      </c>
      <c r="C1141" s="14" t="n">
        <v>4862.7</v>
      </c>
      <c r="D1141" s="14" t="n">
        <v>4895.4</v>
      </c>
      <c r="E1141" s="14" t="n">
        <v>4807.9</v>
      </c>
      <c r="F1141" s="14" t="n">
        <v>4823.6</v>
      </c>
      <c r="G1141" s="9">
        <f>F1141-F1140</f>
        <v/>
      </c>
      <c r="H1141" s="10">
        <f>IF(F1140=0,0,G1141/F1140)</f>
        <v/>
      </c>
      <c r="I1141" s="8">
        <f>D1141-E1141</f>
        <v/>
      </c>
      <c r="J1141" s="4">
        <f>IF(F1141&gt;C1141,"Up",IF(F1141&lt;C1141,"Down","Flat"))</f>
        <v/>
      </c>
      <c r="K1141" s="14" t="n">
        <v>160.95</v>
      </c>
      <c r="L1141" s="15" t="n">
        <v>52.13</v>
      </c>
      <c r="M1141" s="14" t="n">
        <v>4765.03</v>
      </c>
      <c r="N1141" s="14" t="n">
        <v>4792.65</v>
      </c>
      <c r="O1141" s="14" t="n">
        <v>4282.78</v>
      </c>
      <c r="P1141" s="4">
        <f>IF(O1141="","",IF(F1141&gt;O1141,"Above","Below"))</f>
        <v/>
      </c>
      <c r="Q1141" s="16" t="n">
        <v>106707</v>
      </c>
      <c r="R1141" s="17" t="n">
        <v>0</v>
      </c>
      <c r="S1141" s="17" t="n">
        <v>0</v>
      </c>
      <c r="T1141" s="17" t="n">
        <v>0</v>
      </c>
      <c r="U1141" s="18" t="n">
        <v>0</v>
      </c>
    </row>
    <row r="1142">
      <c r="A1142" s="13" t="n">
        <v>46128</v>
      </c>
      <c r="B1142" s="4">
        <f>TEXT(A1142,"ddd")</f>
        <v/>
      </c>
      <c r="C1142" s="14" t="n">
        <v>4813.6</v>
      </c>
      <c r="D1142" s="14" t="n">
        <v>4861.3</v>
      </c>
      <c r="E1142" s="14" t="n">
        <v>4792.1</v>
      </c>
      <c r="F1142" s="14" t="n">
        <v>4808.3</v>
      </c>
      <c r="G1142" s="9">
        <f>F1142-F1141</f>
        <v/>
      </c>
      <c r="H1142" s="10">
        <f>IF(F1141=0,0,G1142/F1141)</f>
        <v/>
      </c>
      <c r="I1142" s="8">
        <f>D1142-E1142</f>
        <v/>
      </c>
      <c r="J1142" s="4">
        <f>IF(F1142&gt;C1142,"Up",IF(F1142&lt;C1142,"Down","Flat"))</f>
        <v/>
      </c>
      <c r="K1142" s="14" t="n">
        <v>154.4</v>
      </c>
      <c r="L1142" s="15" t="n">
        <v>51.31</v>
      </c>
      <c r="M1142" s="14" t="n">
        <v>4769.15</v>
      </c>
      <c r="N1142" s="14" t="n">
        <v>4793.26</v>
      </c>
      <c r="O1142" s="14" t="n">
        <v>4288.01</v>
      </c>
      <c r="P1142" s="4">
        <f>IF(O1142="","",IF(F1142&gt;O1142,"Above","Below"))</f>
        <v/>
      </c>
      <c r="Q1142" s="16" t="n">
        <v>108864</v>
      </c>
      <c r="R1142" s="17" t="n">
        <v>0</v>
      </c>
      <c r="S1142" s="17" t="n">
        <v>0</v>
      </c>
      <c r="T1142" s="17" t="n">
        <v>0</v>
      </c>
      <c r="U1142" s="18" t="n">
        <v>0</v>
      </c>
    </row>
    <row r="1143">
      <c r="A1143" s="13" t="n">
        <v>46129</v>
      </c>
      <c r="B1143" s="4">
        <f>TEXT(A1143,"ddd")</f>
        <v/>
      </c>
      <c r="C1143" s="14" t="n">
        <v>4811.8</v>
      </c>
      <c r="D1143" s="14" t="n">
        <v>4917.7</v>
      </c>
      <c r="E1143" s="14" t="n">
        <v>4785.9</v>
      </c>
      <c r="F1143" s="14" t="n">
        <v>4879.6</v>
      </c>
      <c r="G1143" s="9">
        <f>F1143-F1142</f>
        <v/>
      </c>
      <c r="H1143" s="10">
        <f>IF(F1142=0,0,G1143/F1142)</f>
        <v/>
      </c>
      <c r="I1143" s="8">
        <f>D1143-E1143</f>
        <v/>
      </c>
      <c r="J1143" s="4">
        <f>IF(F1143&gt;C1143,"Up",IF(F1143&lt;C1143,"Down","Flat"))</f>
        <v/>
      </c>
      <c r="K1143" s="14" t="n">
        <v>152.78</v>
      </c>
      <c r="L1143" s="15" t="n">
        <v>54.85</v>
      </c>
      <c r="M1143" s="14" t="n">
        <v>4779.67</v>
      </c>
      <c r="N1143" s="14" t="n">
        <v>4796.65</v>
      </c>
      <c r="O1143" s="14" t="n">
        <v>4293.9</v>
      </c>
      <c r="P1143" s="4">
        <f>IF(O1143="","",IF(F1143&gt;O1143,"Above","Below"))</f>
        <v/>
      </c>
      <c r="Q1143" s="16" t="n">
        <v>135440</v>
      </c>
      <c r="R1143" s="17" t="n">
        <v>0</v>
      </c>
      <c r="S1143" s="17" t="n">
        <v>0</v>
      </c>
      <c r="T1143" s="17" t="n">
        <v>0</v>
      </c>
      <c r="U1143" s="18" t="n">
        <v>0</v>
      </c>
    </row>
    <row r="1144">
      <c r="A1144" s="13" t="n">
        <v>46132</v>
      </c>
      <c r="B1144" s="4">
        <f>TEXT(A1144,"ddd")</f>
        <v/>
      </c>
      <c r="C1144" s="14" t="n">
        <v>4811.8</v>
      </c>
      <c r="D1144" s="14" t="n">
        <v>4847.9</v>
      </c>
      <c r="E1144" s="14" t="n">
        <v>4752</v>
      </c>
      <c r="F1144" s="14" t="n">
        <v>4828.8</v>
      </c>
      <c r="G1144" s="9">
        <f>F1144-F1143</f>
        <v/>
      </c>
      <c r="H1144" s="10">
        <f>IF(F1143=0,0,G1144/F1143)</f>
        <v/>
      </c>
      <c r="I1144" s="8">
        <f>D1144-E1144</f>
        <v/>
      </c>
      <c r="J1144" s="4">
        <f>IF(F1144&gt;C1144,"Up",IF(F1144&lt;C1144,"Down","Flat"))</f>
        <v/>
      </c>
      <c r="K1144" s="14" t="n">
        <v>150.99</v>
      </c>
      <c r="L1144" s="15" t="n">
        <v>51.95</v>
      </c>
      <c r="M1144" s="14" t="n">
        <v>4784.35</v>
      </c>
      <c r="N1144" s="14" t="n">
        <v>4797.91</v>
      </c>
      <c r="O1144" s="14" t="n">
        <v>4299.22</v>
      </c>
      <c r="P1144" s="4">
        <f>IF(O1144="","",IF(F1144&gt;O1144,"Above","Below"))</f>
        <v/>
      </c>
      <c r="Q1144" s="16" t="n">
        <v>123214</v>
      </c>
      <c r="R1144" s="17" t="n">
        <v>0</v>
      </c>
      <c r="S1144" s="17" t="n">
        <v>0</v>
      </c>
      <c r="T1144" s="17" t="n">
        <v>0</v>
      </c>
      <c r="U1144" s="18" t="n">
        <v>0</v>
      </c>
    </row>
    <row r="1145">
      <c r="A1145" s="13" t="n">
        <v>46133</v>
      </c>
      <c r="B1145" s="4">
        <f>TEXT(A1145,"ddd")</f>
        <v/>
      </c>
      <c r="C1145" s="14" t="n">
        <v>4842.4</v>
      </c>
      <c r="D1145" s="14" t="n">
        <v>4854.8</v>
      </c>
      <c r="E1145" s="14" t="n">
        <v>4685.8</v>
      </c>
      <c r="F1145" s="14" t="n">
        <v>4719.6</v>
      </c>
      <c r="G1145" s="9">
        <f>F1145-F1144</f>
        <v/>
      </c>
      <c r="H1145" s="10">
        <f>IF(F1144=0,0,G1145/F1144)</f>
        <v/>
      </c>
      <c r="I1145" s="8">
        <f>D1145-E1145</f>
        <v/>
      </c>
      <c r="J1145" s="4">
        <f>IF(F1145&gt;C1145,"Up",IF(F1145&lt;C1145,"Down","Flat"))</f>
        <v/>
      </c>
      <c r="K1145" s="14" t="n">
        <v>152.27</v>
      </c>
      <c r="L1145" s="15" t="n">
        <v>46.3</v>
      </c>
      <c r="M1145" s="14" t="n">
        <v>4778.18</v>
      </c>
      <c r="N1145" s="14" t="n">
        <v>4794.84</v>
      </c>
      <c r="O1145" s="14" t="n">
        <v>4303.4</v>
      </c>
      <c r="P1145" s="4">
        <f>IF(O1145="","",IF(F1145&gt;O1145,"Above","Below"))</f>
        <v/>
      </c>
      <c r="Q1145" s="16" t="n">
        <v>177092</v>
      </c>
      <c r="R1145" s="17" t="n">
        <v>0</v>
      </c>
      <c r="S1145" s="17" t="n">
        <v>0</v>
      </c>
      <c r="T1145" s="17" t="n">
        <v>0</v>
      </c>
      <c r="U1145" s="18" t="n">
        <v>0</v>
      </c>
    </row>
    <row r="1146">
      <c r="A1146" s="13" t="n">
        <v>46134</v>
      </c>
      <c r="B1146" s="4">
        <f>TEXT(A1146,"ddd")</f>
        <v/>
      </c>
      <c r="C1146" s="14" t="n">
        <v>4738.7</v>
      </c>
      <c r="D1146" s="14" t="n">
        <v>4790.8</v>
      </c>
      <c r="E1146" s="14" t="n">
        <v>4733.1</v>
      </c>
      <c r="F1146" s="14" t="n">
        <v>4753</v>
      </c>
      <c r="G1146" s="9">
        <f>F1146-F1145</f>
        <v/>
      </c>
      <c r="H1146" s="10">
        <f>IF(F1145=0,0,G1146/F1145)</f>
        <v/>
      </c>
      <c r="I1146" s="8">
        <f>D1146-E1146</f>
        <v/>
      </c>
      <c r="J1146" s="4">
        <f>IF(F1146&gt;C1146,"Up",IF(F1146&lt;C1146,"Down","Flat"))</f>
        <v/>
      </c>
      <c r="K1146" s="14" t="n">
        <v>146.48</v>
      </c>
      <c r="L1146" s="15" t="n">
        <v>48.16</v>
      </c>
      <c r="M1146" s="14" t="n">
        <v>4775.78</v>
      </c>
      <c r="N1146" s="14" t="n">
        <v>4793.2</v>
      </c>
      <c r="O1146" s="14" t="n">
        <v>4307.88</v>
      </c>
      <c r="P1146" s="4">
        <f>IF(O1146="","",IF(F1146&gt;O1146,"Above","Below"))</f>
        <v/>
      </c>
      <c r="Q1146" s="16" t="n">
        <v>100063</v>
      </c>
      <c r="R1146" s="17" t="n">
        <v>0</v>
      </c>
      <c r="S1146" s="17" t="n">
        <v>0</v>
      </c>
      <c r="T1146" s="17" t="n">
        <v>0</v>
      </c>
      <c r="U1146" s="18" t="n">
        <v>0</v>
      </c>
    </row>
    <row r="1147">
      <c r="A1147" s="13" t="n">
        <v>46135</v>
      </c>
      <c r="B1147" s="4">
        <f>TEXT(A1147,"ddd")</f>
        <v/>
      </c>
      <c r="C1147" s="14" t="n">
        <v>4759.2</v>
      </c>
      <c r="D1147" s="14" t="n">
        <v>4771.3</v>
      </c>
      <c r="E1147" s="14" t="n">
        <v>4680.1</v>
      </c>
      <c r="F1147" s="14" t="n">
        <v>4724</v>
      </c>
      <c r="G1147" s="9">
        <f>F1147-F1146</f>
        <v/>
      </c>
      <c r="H1147" s="10">
        <f>IF(F1146=0,0,G1147/F1146)</f>
        <v/>
      </c>
      <c r="I1147" s="8">
        <f>D1147-E1147</f>
        <v/>
      </c>
      <c r="J1147" s="4">
        <f>IF(F1147&gt;C1147,"Up",IF(F1147&lt;C1147,"Down","Flat"))</f>
        <v/>
      </c>
      <c r="K1147" s="14" t="n">
        <v>142.53</v>
      </c>
      <c r="L1147" s="15" t="n">
        <v>46.65</v>
      </c>
      <c r="M1147" s="14" t="n">
        <v>4770.85</v>
      </c>
      <c r="N1147" s="14" t="n">
        <v>4790.49</v>
      </c>
      <c r="O1147" s="14" t="n">
        <v>4312.02</v>
      </c>
      <c r="P1147" s="4">
        <f>IF(O1147="","",IF(F1147&gt;O1147,"Above","Below"))</f>
        <v/>
      </c>
      <c r="Q1147" s="16" t="n">
        <v>153536</v>
      </c>
      <c r="R1147" s="17" t="n">
        <v>0</v>
      </c>
      <c r="S1147" s="17" t="n">
        <v>0</v>
      </c>
      <c r="T1147" s="17" t="n">
        <v>0</v>
      </c>
      <c r="U1147" s="18" t="n">
        <v>0</v>
      </c>
    </row>
    <row r="1148">
      <c r="A1148" s="13" t="n">
        <v>46136</v>
      </c>
      <c r="B1148" s="4">
        <f>TEXT(A1148,"ddd")</f>
        <v/>
      </c>
      <c r="C1148" s="14" t="n">
        <v>4715.6</v>
      </c>
      <c r="D1148" s="14" t="n">
        <v>4757.1</v>
      </c>
      <c r="E1148" s="14" t="n">
        <v>4672.2</v>
      </c>
      <c r="F1148" s="14" t="n">
        <v>4740.9</v>
      </c>
      <c r="G1148" s="9">
        <f>F1148-F1147</f>
        <v/>
      </c>
      <c r="H1148" s="10">
        <f>IF(F1147=0,0,G1148/F1147)</f>
        <v/>
      </c>
      <c r="I1148" s="8">
        <f>D1148-E1148</f>
        <v/>
      </c>
      <c r="J1148" s="4">
        <f>IF(F1148&gt;C1148,"Up",IF(F1148&lt;C1148,"Down","Flat"))</f>
        <v/>
      </c>
      <c r="K1148" s="14" t="n">
        <v>138.42</v>
      </c>
      <c r="L1148" s="15" t="n">
        <v>47.68</v>
      </c>
      <c r="M1148" s="14" t="n">
        <v>4768</v>
      </c>
      <c r="N1148" s="14" t="n">
        <v>4788.54</v>
      </c>
      <c r="O1148" s="14" t="n">
        <v>4316.28</v>
      </c>
      <c r="P1148" s="4">
        <f>IF(O1148="","",IF(F1148&gt;O1148,"Above","Below"))</f>
        <v/>
      </c>
      <c r="Q1148" s="16" t="n">
        <v>103218</v>
      </c>
      <c r="R1148" s="17" t="n">
        <v>0</v>
      </c>
      <c r="S1148" s="17" t="n">
        <v>0</v>
      </c>
      <c r="T1148" s="17" t="n">
        <v>0</v>
      </c>
      <c r="U1148" s="18" t="n">
        <v>0</v>
      </c>
    </row>
    <row r="1149">
      <c r="A1149" s="13" t="n">
        <v>46139</v>
      </c>
      <c r="B1149" s="4">
        <f>TEXT(A1149,"ddd")</f>
        <v/>
      </c>
      <c r="C1149" s="14" t="n">
        <v>4713.1</v>
      </c>
      <c r="D1149" s="14" t="n">
        <v>4745.8</v>
      </c>
      <c r="E1149" s="14" t="n">
        <v>4681.2</v>
      </c>
      <c r="F1149" s="14" t="n">
        <v>4693.7</v>
      </c>
      <c r="G1149" s="9">
        <f>F1149-F1148</f>
        <v/>
      </c>
      <c r="H1149" s="10">
        <f>IF(F1148=0,0,G1149/F1148)</f>
        <v/>
      </c>
      <c r="I1149" s="8">
        <f>D1149-E1149</f>
        <v/>
      </c>
      <c r="J1149" s="4">
        <f>IF(F1149&gt;C1149,"Up",IF(F1149&lt;C1149,"Down","Flat"))</f>
        <v/>
      </c>
      <c r="K1149" s="14" t="n">
        <v>133.14</v>
      </c>
      <c r="L1149" s="15" t="n">
        <v>45.07</v>
      </c>
      <c r="M1149" s="14" t="n">
        <v>4760.92</v>
      </c>
      <c r="N1149" s="14" t="n">
        <v>4784.82</v>
      </c>
      <c r="O1149" s="14" t="n">
        <v>4320.04</v>
      </c>
      <c r="P1149" s="4">
        <f>IF(O1149="","",IF(F1149&gt;O1149,"Above","Below"))</f>
        <v/>
      </c>
      <c r="Q1149" s="16" t="n">
        <v>85748</v>
      </c>
      <c r="R1149" s="17" t="n">
        <v>0</v>
      </c>
      <c r="S1149" s="17" t="n">
        <v>0</v>
      </c>
      <c r="T1149" s="17" t="n">
        <v>0</v>
      </c>
      <c r="U1149" s="18" t="n">
        <v>0</v>
      </c>
    </row>
    <row r="1150">
      <c r="A1150" s="13" t="n">
        <v>46140</v>
      </c>
      <c r="B1150" s="4">
        <f>TEXT(A1150,"ddd")</f>
        <v/>
      </c>
      <c r="C1150" s="14" t="n">
        <v>4697.5</v>
      </c>
      <c r="D1150" s="14" t="n">
        <v>4716.5</v>
      </c>
      <c r="E1150" s="14" t="n">
        <v>4567.6</v>
      </c>
      <c r="F1150" s="14" t="n">
        <v>4608.4</v>
      </c>
      <c r="G1150" s="9">
        <f>F1150-F1149</f>
        <v/>
      </c>
      <c r="H1150" s="10">
        <f>IF(F1149=0,0,G1150/F1149)</f>
        <v/>
      </c>
      <c r="I1150" s="8">
        <f>D1150-E1150</f>
        <v/>
      </c>
      <c r="J1150" s="4">
        <f>IF(F1150&gt;C1150,"Up",IF(F1150&lt;C1150,"Down","Flat"))</f>
        <v/>
      </c>
      <c r="K1150" s="14" t="n">
        <v>134.27</v>
      </c>
      <c r="L1150" s="15" t="n">
        <v>40.72</v>
      </c>
      <c r="M1150" s="14" t="n">
        <v>4746.4</v>
      </c>
      <c r="N1150" s="14" t="n">
        <v>4777.9</v>
      </c>
      <c r="O1150" s="14" t="n">
        <v>4322.91</v>
      </c>
      <c r="P1150" s="4">
        <f>IF(O1150="","",IF(F1150&gt;O1150,"Above","Below"))</f>
        <v/>
      </c>
      <c r="Q1150" s="16" t="n">
        <v>144757</v>
      </c>
      <c r="R1150" s="17" t="n">
        <v>0</v>
      </c>
      <c r="S1150" s="17" t="n">
        <v>0</v>
      </c>
      <c r="T1150" s="17" t="n">
        <v>0</v>
      </c>
      <c r="U1150" s="18" t="n">
        <v>0</v>
      </c>
    </row>
    <row r="1151">
      <c r="A1151" s="13" t="n">
        <v>46141</v>
      </c>
      <c r="B1151" s="4">
        <f>TEXT(A1151,"ddd")</f>
        <v/>
      </c>
      <c r="C1151" s="14" t="n">
        <v>4611.4</v>
      </c>
      <c r="D1151" s="14" t="n">
        <v>4624.3</v>
      </c>
      <c r="E1151" s="14" t="n">
        <v>4522.2</v>
      </c>
      <c r="F1151" s="14" t="n">
        <v>4561.5</v>
      </c>
      <c r="G1151" s="9">
        <f>F1151-F1150</f>
        <v/>
      </c>
      <c r="H1151" s="10">
        <f>IF(F1150=0,0,G1151/F1150)</f>
        <v/>
      </c>
      <c r="I1151" s="8">
        <f>D1151-E1151</f>
        <v/>
      </c>
      <c r="J1151" s="4">
        <f>IF(F1151&gt;C1151,"Up",IF(F1151&lt;C1151,"Down","Flat"))</f>
        <v/>
      </c>
      <c r="K1151" s="14" t="n">
        <v>131.97</v>
      </c>
      <c r="L1151" s="15" t="n">
        <v>38.52</v>
      </c>
      <c r="M1151" s="14" t="n">
        <v>4728.79</v>
      </c>
      <c r="N1151" s="14" t="n">
        <v>4769.42</v>
      </c>
      <c r="O1151" s="14" t="n">
        <v>4325.28</v>
      </c>
      <c r="P1151" s="4">
        <f>IF(O1151="","",IF(F1151&gt;O1151,"Above","Below"))</f>
        <v/>
      </c>
      <c r="Q1151" s="16" t="n">
        <v>126415</v>
      </c>
      <c r="R1151" s="17" t="n">
        <v>0</v>
      </c>
      <c r="S1151" s="17" t="n">
        <v>0</v>
      </c>
      <c r="T1151" s="17" t="n">
        <v>0</v>
      </c>
      <c r="U1151" s="18" t="n">
        <v>0</v>
      </c>
    </row>
    <row r="1152">
      <c r="A1152" s="13" t="n">
        <v>46142</v>
      </c>
      <c r="B1152" s="4">
        <f>TEXT(A1152,"ddd")</f>
        <v/>
      </c>
      <c r="C1152" s="14" t="n">
        <v>4557</v>
      </c>
      <c r="D1152" s="14" t="n">
        <v>4658.8</v>
      </c>
      <c r="E1152" s="14" t="n">
        <v>4550.8</v>
      </c>
      <c r="F1152" s="14" t="n">
        <v>4629.6</v>
      </c>
      <c r="G1152" s="9">
        <f>F1152-F1151</f>
        <v/>
      </c>
      <c r="H1152" s="10">
        <f>IF(F1151=0,0,G1152/F1151)</f>
        <v/>
      </c>
      <c r="I1152" s="8">
        <f>D1152-E1152</f>
        <v/>
      </c>
      <c r="J1152" s="4">
        <f>IF(F1152&gt;C1152,"Up",IF(F1152&lt;C1152,"Down","Flat"))</f>
        <v/>
      </c>
      <c r="K1152" s="14" t="n">
        <v>130.26</v>
      </c>
      <c r="L1152" s="15" t="n">
        <v>43.31</v>
      </c>
      <c r="M1152" s="14" t="n">
        <v>4719.34</v>
      </c>
      <c r="N1152" s="14" t="n">
        <v>4763.93</v>
      </c>
      <c r="O1152" s="14" t="n">
        <v>4328.31</v>
      </c>
      <c r="P1152" s="4">
        <f>IF(O1152="","",IF(F1152&gt;O1152,"Above","Below"))</f>
        <v/>
      </c>
      <c r="Q1152" s="16" t="n">
        <v>119642</v>
      </c>
      <c r="R1152" s="17" t="n">
        <v>0</v>
      </c>
      <c r="S1152" s="17" t="n">
        <v>0</v>
      </c>
      <c r="T1152" s="17" t="n">
        <v>0</v>
      </c>
      <c r="U1152" s="18" t="n">
        <v>0</v>
      </c>
    </row>
    <row r="1153">
      <c r="A1153" s="13" t="n">
        <v>46143</v>
      </c>
      <c r="B1153" s="4">
        <f>TEXT(A1153,"ddd")</f>
        <v/>
      </c>
      <c r="C1153" s="14" t="n">
        <v>4636.9</v>
      </c>
      <c r="D1153" s="14" t="n">
        <v>4673</v>
      </c>
      <c r="E1153" s="14" t="n">
        <v>4570</v>
      </c>
      <c r="F1153" s="14" t="n">
        <v>4644.5</v>
      </c>
      <c r="G1153" s="9">
        <f>F1153-F1152</f>
        <v/>
      </c>
      <c r="H1153" s="10">
        <f>IF(F1152=0,0,G1153/F1152)</f>
        <v/>
      </c>
      <c r="I1153" s="8">
        <f>D1153-E1153</f>
        <v/>
      </c>
      <c r="J1153" s="4">
        <f>IF(F1153&gt;C1153,"Up",IF(F1153&lt;C1153,"Down","Flat"))</f>
        <v/>
      </c>
      <c r="K1153" s="14" t="n">
        <v>128.31</v>
      </c>
      <c r="L1153" s="15" t="n">
        <v>44.33</v>
      </c>
      <c r="M1153" s="14" t="n">
        <v>4712.21</v>
      </c>
      <c r="N1153" s="14" t="n">
        <v>4759.25</v>
      </c>
      <c r="O1153" s="14" t="n">
        <v>4331.46</v>
      </c>
      <c r="P1153" s="4">
        <f>IF(O1153="","",IF(F1153&gt;O1153,"Above","Below"))</f>
        <v/>
      </c>
      <c r="Q1153" s="16" t="n">
        <v>93230</v>
      </c>
      <c r="R1153" s="17" t="n">
        <v>0</v>
      </c>
      <c r="S1153" s="17" t="n">
        <v>0</v>
      </c>
      <c r="T1153" s="17" t="n">
        <v>0</v>
      </c>
      <c r="U1153" s="18" t="n">
        <v>0</v>
      </c>
    </row>
    <row r="1154">
      <c r="A1154" s="13" t="n">
        <v>46146</v>
      </c>
      <c r="B1154" s="4">
        <f>TEXT(A1154,"ddd")</f>
        <v/>
      </c>
      <c r="C1154" s="14" t="n">
        <v>4644</v>
      </c>
      <c r="D1154" s="14" t="n">
        <v>4650.6</v>
      </c>
      <c r="E1154" s="14" t="n">
        <v>4510.1</v>
      </c>
      <c r="F1154" s="14" t="n">
        <v>4533.3</v>
      </c>
      <c r="G1154" s="9">
        <f>F1154-F1153</f>
        <v/>
      </c>
      <c r="H1154" s="10">
        <f>IF(F1153=0,0,G1154/F1153)</f>
        <v/>
      </c>
      <c r="I1154" s="8">
        <f>D1154-E1154</f>
        <v/>
      </c>
      <c r="J1154" s="4">
        <f>IF(F1154&gt;C1154,"Up",IF(F1154&lt;C1154,"Down","Flat"))</f>
        <v/>
      </c>
      <c r="K1154" s="14" t="n">
        <v>129.18</v>
      </c>
      <c r="L1154" s="15" t="n">
        <v>38.72</v>
      </c>
      <c r="M1154" s="14" t="n">
        <v>4695.17</v>
      </c>
      <c r="N1154" s="14" t="n">
        <v>4750.39</v>
      </c>
      <c r="O1154" s="14" t="n">
        <v>4333.47</v>
      </c>
      <c r="P1154" s="4">
        <f>IF(O1154="","",IF(F1154&gt;O1154,"Above","Below"))</f>
        <v/>
      </c>
      <c r="Q1154" s="16" t="n">
        <v>117006</v>
      </c>
      <c r="R1154" s="17" t="n">
        <v>0</v>
      </c>
      <c r="S1154" s="17" t="n">
        <v>0</v>
      </c>
      <c r="T1154" s="17" t="n">
        <v>0</v>
      </c>
      <c r="U1154" s="18" t="n">
        <v>0</v>
      </c>
    </row>
    <row r="1155">
      <c r="A1155" s="13" t="n">
        <v>46147</v>
      </c>
      <c r="B1155" s="4">
        <f>TEXT(A1155,"ddd")</f>
        <v/>
      </c>
      <c r="C1155" s="14" t="n">
        <v>4534</v>
      </c>
      <c r="D1155" s="14" t="n">
        <v>4597.5</v>
      </c>
      <c r="E1155" s="14" t="n">
        <v>4522.7</v>
      </c>
      <c r="F1155" s="14" t="n">
        <v>4568.5</v>
      </c>
      <c r="G1155" s="9">
        <f>F1155-F1154</f>
        <v/>
      </c>
      <c r="H1155" s="10">
        <f>IF(F1154=0,0,G1155/F1154)</f>
        <v/>
      </c>
      <c r="I1155" s="8">
        <f>D1155-E1155</f>
        <v/>
      </c>
      <c r="J1155" s="4">
        <f>IF(F1155&gt;C1155,"Up",IF(F1155&lt;C1155,"Down","Flat"))</f>
        <v/>
      </c>
      <c r="K1155" s="14" t="n">
        <v>125.3</v>
      </c>
      <c r="L1155" s="15" t="n">
        <v>41.26</v>
      </c>
      <c r="M1155" s="14" t="n">
        <v>4683.11</v>
      </c>
      <c r="N1155" s="14" t="n">
        <v>4743.26</v>
      </c>
      <c r="O1155" s="14" t="n">
        <v>4335.8</v>
      </c>
      <c r="P1155" s="4">
        <f>IF(O1155="","",IF(F1155&gt;O1155,"Above","Below"))</f>
        <v/>
      </c>
      <c r="Q1155" s="16" t="n">
        <v>88281</v>
      </c>
      <c r="R1155" s="17" t="n">
        <v>0</v>
      </c>
      <c r="S1155" s="17" t="n">
        <v>0</v>
      </c>
      <c r="T1155" s="17" t="n">
        <v>0</v>
      </c>
      <c r="U1155" s="18" t="n">
        <v>0</v>
      </c>
    </row>
    <row r="1156">
      <c r="A1156" s="13" t="n">
        <v>46148</v>
      </c>
      <c r="B1156" s="4">
        <f>TEXT(A1156,"ddd")</f>
        <v/>
      </c>
      <c r="C1156" s="14" t="n">
        <v>4569.3</v>
      </c>
      <c r="D1156" s="14" t="n">
        <v>4734.6</v>
      </c>
      <c r="E1156" s="14" t="n">
        <v>4556.1</v>
      </c>
      <c r="F1156" s="14" t="n">
        <v>4694.3</v>
      </c>
      <c r="G1156" s="9">
        <f>F1156-F1155</f>
        <v/>
      </c>
      <c r="H1156" s="10">
        <f>IF(F1155=0,0,G1156/F1155)</f>
        <v/>
      </c>
      <c r="I1156" s="8">
        <f>D1156-E1156</f>
        <v/>
      </c>
      <c r="J1156" s="4">
        <f>IF(F1156&gt;C1156,"Up",IF(F1156&lt;C1156,"Down","Flat"))</f>
        <v/>
      </c>
      <c r="K1156" s="14" t="n">
        <v>129.1</v>
      </c>
      <c r="L1156" s="15" t="n">
        <v>49.32</v>
      </c>
      <c r="M1156" s="14" t="n">
        <v>4684.18</v>
      </c>
      <c r="N1156" s="14" t="n">
        <v>4741.34</v>
      </c>
      <c r="O1156" s="14" t="n">
        <v>4339.37</v>
      </c>
      <c r="P1156" s="4">
        <f>IF(O1156="","",IF(F1156&gt;O1156,"Above","Below"))</f>
        <v/>
      </c>
      <c r="Q1156" s="16" t="n">
        <v>160439</v>
      </c>
      <c r="R1156" s="17" t="n">
        <v>0</v>
      </c>
      <c r="S1156" s="17" t="n">
        <v>0</v>
      </c>
      <c r="T1156" s="17" t="n">
        <v>0</v>
      </c>
      <c r="U1156" s="18" t="n">
        <v>0</v>
      </c>
    </row>
    <row r="1157">
      <c r="A1157" s="13" t="n">
        <v>46149</v>
      </c>
      <c r="B1157" s="4">
        <f>TEXT(A1157,"ddd")</f>
        <v/>
      </c>
      <c r="C1157" s="14" t="n">
        <v>4702.2</v>
      </c>
      <c r="D1157" s="14" t="n">
        <v>4775.2</v>
      </c>
      <c r="E1157" s="14" t="n">
        <v>4693.3</v>
      </c>
      <c r="F1157" s="14" t="n">
        <v>4710.9</v>
      </c>
      <c r="G1157" s="9">
        <f>F1157-F1156</f>
        <v/>
      </c>
      <c r="H1157" s="10">
        <f>IF(F1156=0,0,G1157/F1156)</f>
        <v/>
      </c>
      <c r="I1157" s="8">
        <f>D1157-E1157</f>
        <v/>
      </c>
      <c r="J1157" s="4">
        <f>IF(F1157&gt;C1157,"Up",IF(F1157&lt;C1157,"Down","Flat"))</f>
        <v/>
      </c>
      <c r="K1157" s="14" t="n">
        <v>125.73</v>
      </c>
      <c r="L1157" s="15" t="n">
        <v>50.29</v>
      </c>
      <c r="M1157" s="14" t="n">
        <v>4686.72</v>
      </c>
      <c r="N1157" s="14" t="n">
        <v>4740.14</v>
      </c>
      <c r="O1157" s="14" t="n">
        <v>4343.07</v>
      </c>
      <c r="P1157" s="4">
        <f>IF(O1157="","",IF(F1157&gt;O1157,"Above","Below"))</f>
        <v/>
      </c>
      <c r="Q1157" s="16" t="n">
        <v>159525</v>
      </c>
      <c r="R1157" s="17" t="n">
        <v>0</v>
      </c>
      <c r="S1157" s="17" t="n">
        <v>0</v>
      </c>
      <c r="T1157" s="17" t="n">
        <v>0</v>
      </c>
      <c r="U1157" s="18" t="n">
        <v>0</v>
      </c>
    </row>
    <row r="1158">
      <c r="A1158" s="13" t="n">
        <v>46150</v>
      </c>
      <c r="B1158" s="4">
        <f>TEXT(A1158,"ddd")</f>
        <v/>
      </c>
      <c r="C1158" s="14" t="n">
        <v>4682.5</v>
      </c>
      <c r="D1158" s="14" t="n">
        <v>4760.4</v>
      </c>
      <c r="E1158" s="14" t="n">
        <v>4671</v>
      </c>
      <c r="F1158" s="14" t="n">
        <v>4730.7</v>
      </c>
      <c r="G1158" s="9">
        <f>F1158-F1157</f>
        <v/>
      </c>
      <c r="H1158" s="10">
        <f>IF(F1157=0,0,G1158/F1157)</f>
        <v/>
      </c>
      <c r="I1158" s="8">
        <f>D1158-E1158</f>
        <v/>
      </c>
      <c r="J1158" s="4">
        <f>IF(F1158&gt;C1158,"Up",IF(F1158&lt;C1158,"Down","Flat"))</f>
        <v/>
      </c>
      <c r="K1158" s="14" t="n">
        <v>123.13</v>
      </c>
      <c r="L1158" s="15" t="n">
        <v>51.48</v>
      </c>
      <c r="M1158" s="14" t="n">
        <v>4690.91</v>
      </c>
      <c r="N1158" s="14" t="n">
        <v>4739.77</v>
      </c>
      <c r="O1158" s="14" t="n">
        <v>4346.93</v>
      </c>
      <c r="P1158" s="4">
        <f>IF(O1158="","",IF(F1158&gt;O1158,"Above","Below"))</f>
        <v/>
      </c>
      <c r="Q1158" s="16" t="n">
        <v>122010</v>
      </c>
      <c r="R1158" s="17" t="n">
        <v>0</v>
      </c>
      <c r="S1158" s="17" t="n">
        <v>0</v>
      </c>
      <c r="T1158" s="17" t="n">
        <v>0</v>
      </c>
      <c r="U1158" s="18" t="n">
        <v>0</v>
      </c>
    </row>
    <row r="1159">
      <c r="A1159" s="13" t="n">
        <v>46153</v>
      </c>
      <c r="B1159" s="4">
        <f>TEXT(A1159,"ddd")</f>
        <v/>
      </c>
      <c r="C1159" s="14" t="n">
        <v>4690</v>
      </c>
      <c r="D1159" s="14" t="n">
        <v>4758.4</v>
      </c>
      <c r="E1159" s="14" t="n">
        <v>4655.1</v>
      </c>
      <c r="F1159" s="14" t="n">
        <v>4728.7</v>
      </c>
      <c r="G1159" s="9">
        <f>F1159-F1158</f>
        <v/>
      </c>
      <c r="H1159" s="10">
        <f>IF(F1158=0,0,G1159/F1158)</f>
        <v/>
      </c>
      <c r="I1159" s="8">
        <f>D1159-E1159</f>
        <v/>
      </c>
      <c r="J1159" s="4">
        <f>IF(F1159&gt;C1159,"Up",IF(F1159&lt;C1159,"Down","Flat"))</f>
        <v/>
      </c>
      <c r="K1159" s="14" t="n">
        <v>121.72</v>
      </c>
      <c r="L1159" s="15" t="n">
        <v>51.35</v>
      </c>
      <c r="M1159" s="14" t="n">
        <v>4694.51</v>
      </c>
      <c r="N1159" s="14" t="n">
        <v>4739.34</v>
      </c>
      <c r="O1159" s="14" t="n">
        <v>4350.72</v>
      </c>
      <c r="P1159" s="4">
        <f>IF(O1159="","",IF(F1159&gt;O1159,"Above","Below"))</f>
        <v/>
      </c>
      <c r="Q1159" s="16" t="n">
        <v>147404</v>
      </c>
      <c r="R1159" s="17" t="n">
        <v>0</v>
      </c>
      <c r="S1159" s="17" t="n">
        <v>0</v>
      </c>
      <c r="T1159" s="17" t="n">
        <v>0</v>
      </c>
      <c r="U1159" s="18" t="n">
        <v>0</v>
      </c>
    </row>
    <row r="1160">
      <c r="A1160" s="13" t="n">
        <v>46154</v>
      </c>
      <c r="B1160" s="4">
        <f>TEXT(A1160,"ddd")</f>
        <v/>
      </c>
      <c r="C1160" s="14" t="n">
        <v>4745.3</v>
      </c>
      <c r="D1160" s="14" t="n">
        <v>4783.4</v>
      </c>
      <c r="E1160" s="14" t="n">
        <v>4645.2</v>
      </c>
      <c r="F1160" s="14" t="n">
        <v>4686.7</v>
      </c>
      <c r="G1160" s="9">
        <f>F1160-F1159</f>
        <v/>
      </c>
      <c r="H1160" s="10">
        <f>IF(F1159=0,0,G1160/F1159)</f>
        <v/>
      </c>
      <c r="I1160" s="8">
        <f>D1160-E1160</f>
        <v/>
      </c>
      <c r="J1160" s="4">
        <f>IF(F1160&gt;C1160,"Up",IF(F1160&lt;C1160,"Down","Flat"))</f>
        <v/>
      </c>
      <c r="K1160" s="14" t="n">
        <v>122.89</v>
      </c>
      <c r="L1160" s="15" t="n">
        <v>48.49</v>
      </c>
      <c r="M1160" s="14" t="n">
        <v>4693.77</v>
      </c>
      <c r="N1160" s="14" t="n">
        <v>4737.27</v>
      </c>
      <c r="O1160" s="14" t="n">
        <v>4354.07</v>
      </c>
      <c r="P1160" s="4">
        <f>IF(O1160="","",IF(F1160&gt;O1160,"Above","Below"))</f>
        <v/>
      </c>
      <c r="Q1160" s="16" t="n">
        <v>146315</v>
      </c>
      <c r="R1160" s="17" t="n">
        <v>0</v>
      </c>
      <c r="S1160" s="17" t="n">
        <v>0</v>
      </c>
      <c r="T1160" s="17" t="n">
        <v>0</v>
      </c>
      <c r="U1160" s="18" t="n">
        <v>0</v>
      </c>
    </row>
    <row r="1161">
      <c r="A1161" s="13" t="n">
        <v>46155</v>
      </c>
      <c r="B1161" s="4">
        <f>TEXT(A1161,"ddd")</f>
        <v/>
      </c>
      <c r="C1161" s="14" t="n">
        <v>4722.3</v>
      </c>
      <c r="D1161" s="14" t="n">
        <v>4734.8</v>
      </c>
      <c r="E1161" s="14" t="n">
        <v>4676</v>
      </c>
      <c r="F1161" s="14" t="n">
        <v>4706.7</v>
      </c>
      <c r="G1161" s="9">
        <f>F1161-F1160</f>
        <v/>
      </c>
      <c r="H1161" s="10">
        <f>IF(F1160=0,0,G1161/F1160)</f>
        <v/>
      </c>
      <c r="I1161" s="8">
        <f>D1161-E1161</f>
        <v/>
      </c>
      <c r="J1161" s="4">
        <f>IF(F1161&gt;C1161,"Up",IF(F1161&lt;C1161,"Down","Flat"))</f>
        <v/>
      </c>
      <c r="K1161" s="14" t="n">
        <v>118.31</v>
      </c>
      <c r="L1161" s="15" t="n">
        <v>49.92</v>
      </c>
      <c r="M1161" s="14" t="n">
        <v>4695</v>
      </c>
      <c r="N1161" s="14" t="n">
        <v>4736.08</v>
      </c>
      <c r="O1161" s="14" t="n">
        <v>4357.58</v>
      </c>
      <c r="P1161" s="4">
        <f>IF(O1161="","",IF(F1161&gt;O1161,"Above","Below"))</f>
        <v/>
      </c>
      <c r="Q1161" s="16" t="n">
        <v>120048</v>
      </c>
      <c r="R1161" s="17" t="n">
        <v>0</v>
      </c>
      <c r="S1161" s="17" t="n">
        <v>0</v>
      </c>
      <c r="T1161" s="17" t="n">
        <v>0</v>
      </c>
      <c r="U1161" s="18" t="n">
        <v>0</v>
      </c>
    </row>
    <row r="1162">
      <c r="A1162" s="13" t="n">
        <v>46156</v>
      </c>
      <c r="B1162" s="4">
        <f>TEXT(A1162,"ddd")</f>
        <v/>
      </c>
      <c r="C1162" s="14" t="n">
        <v>4696.8</v>
      </c>
      <c r="D1162" s="14" t="n">
        <v>4725.8</v>
      </c>
      <c r="E1162" s="14" t="n">
        <v>4649.3</v>
      </c>
      <c r="F1162" s="14" t="n">
        <v>4685.3</v>
      </c>
      <c r="G1162" s="9">
        <f>F1162-F1161</f>
        <v/>
      </c>
      <c r="H1162" s="10">
        <f>IF(F1161=0,0,G1162/F1161)</f>
        <v/>
      </c>
      <c r="I1162" s="8">
        <f>D1162-E1162</f>
        <v/>
      </c>
      <c r="J1162" s="4">
        <f>IF(F1162&gt;C1162,"Up",IF(F1162&lt;C1162,"Down","Flat"))</f>
        <v/>
      </c>
      <c r="K1162" s="14" t="n">
        <v>115.33</v>
      </c>
      <c r="L1162" s="15" t="n">
        <v>48.38</v>
      </c>
      <c r="M1162" s="14" t="n">
        <v>4694.07</v>
      </c>
      <c r="N1162" s="14" t="n">
        <v>4734.08</v>
      </c>
      <c r="O1162" s="14" t="n">
        <v>4360.84</v>
      </c>
      <c r="P1162" s="4">
        <f>IF(O1162="","",IF(F1162&gt;O1162,"Above","Below"))</f>
        <v/>
      </c>
      <c r="Q1162" s="16" t="n">
        <v>102965</v>
      </c>
      <c r="R1162" s="17" t="n">
        <v>0</v>
      </c>
      <c r="S1162" s="17" t="n">
        <v>0</v>
      </c>
      <c r="T1162" s="17" t="n">
        <v>0</v>
      </c>
      <c r="U1162" s="18" t="n">
        <v>0</v>
      </c>
    </row>
    <row r="1163">
      <c r="A1163" s="13" t="n">
        <v>46157</v>
      </c>
      <c r="B1163" s="4">
        <f>TEXT(A1163,"ddd")</f>
        <v/>
      </c>
      <c r="C1163" s="14" t="n">
        <v>4654.5</v>
      </c>
      <c r="D1163" s="14" t="n">
        <v>4670.1</v>
      </c>
      <c r="E1163" s="14" t="n">
        <v>4513.8</v>
      </c>
      <c r="F1163" s="14" t="n">
        <v>4561.9</v>
      </c>
      <c r="G1163" s="9">
        <f>F1163-F1162</f>
        <v/>
      </c>
      <c r="H1163" s="10">
        <f>IF(F1162=0,0,G1163/F1162)</f>
        <v/>
      </c>
      <c r="I1163" s="8">
        <f>D1163-E1163</f>
        <v/>
      </c>
      <c r="J1163" s="4">
        <f>IF(F1163&gt;C1163,"Up",IF(F1163&lt;C1163,"Down","Flat"))</f>
        <v/>
      </c>
      <c r="K1163" s="14" t="n">
        <v>119.34</v>
      </c>
      <c r="L1163" s="15" t="n">
        <v>40.58</v>
      </c>
      <c r="M1163" s="14" t="n">
        <v>4681.49</v>
      </c>
      <c r="N1163" s="14" t="n">
        <v>4727.33</v>
      </c>
      <c r="O1163" s="14" t="n">
        <v>4362.84</v>
      </c>
      <c r="P1163" s="4">
        <f>IF(O1163="","",IF(F1163&gt;O1163,"Above","Below"))</f>
        <v/>
      </c>
      <c r="Q1163" s="16" t="n">
        <v>169760</v>
      </c>
      <c r="R1163" s="17" t="n">
        <v>0</v>
      </c>
      <c r="S1163" s="17" t="n">
        <v>0</v>
      </c>
      <c r="T1163" s="17" t="n">
        <v>0</v>
      </c>
      <c r="U1163" s="18" t="n">
        <v>0</v>
      </c>
    </row>
    <row r="1164">
      <c r="A1164" s="13" t="n">
        <v>46160</v>
      </c>
      <c r="B1164" s="4">
        <f>TEXT(A1164,"ddd")</f>
        <v/>
      </c>
      <c r="C1164" s="14" t="n">
        <v>4547.6</v>
      </c>
      <c r="D1164" s="14" t="n">
        <v>4588.6</v>
      </c>
      <c r="E1164" s="14" t="n">
        <v>4483.5</v>
      </c>
      <c r="F1164" s="14" t="n">
        <v>4558</v>
      </c>
      <c r="G1164" s="9">
        <f>F1164-F1163</f>
        <v/>
      </c>
      <c r="H1164" s="10">
        <f>IF(F1163=0,0,G1164/F1163)</f>
        <v/>
      </c>
      <c r="I1164" s="8">
        <f>D1164-E1164</f>
        <v/>
      </c>
      <c r="J1164" s="4">
        <f>IF(F1164&gt;C1164,"Up",IF(F1164&lt;C1164,"Down","Flat"))</f>
        <v/>
      </c>
      <c r="K1164" s="14" t="n">
        <v>118.32</v>
      </c>
      <c r="L1164" s="15" t="n">
        <v>40.36</v>
      </c>
      <c r="M1164" s="14" t="n">
        <v>4669.73</v>
      </c>
      <c r="N1164" s="14" t="n">
        <v>4720.69</v>
      </c>
      <c r="O1164" s="14" t="n">
        <v>4364.78</v>
      </c>
      <c r="P1164" s="4">
        <f>IF(O1164="","",IF(F1164&gt;O1164,"Above","Below"))</f>
        <v/>
      </c>
      <c r="Q1164" s="16" t="n">
        <v>151971</v>
      </c>
      <c r="R1164" s="17" t="n">
        <v>0</v>
      </c>
      <c r="S1164" s="17" t="n">
        <v>0</v>
      </c>
      <c r="T1164" s="17" t="n">
        <v>0</v>
      </c>
      <c r="U1164" s="18" t="n">
        <v>0</v>
      </c>
    </row>
    <row r="1165">
      <c r="A1165" s="13" t="n">
        <v>46161</v>
      </c>
      <c r="B1165" s="4">
        <f>TEXT(A1165,"ddd")</f>
        <v/>
      </c>
      <c r="C1165" s="14" t="n">
        <v>4570.6</v>
      </c>
      <c r="D1165" s="14" t="n">
        <v>4593.2</v>
      </c>
      <c r="E1165" s="14" t="n">
        <v>4467.1</v>
      </c>
      <c r="F1165" s="14" t="n">
        <v>4511.2</v>
      </c>
      <c r="G1165" s="9">
        <f>F1165-F1164</f>
        <v/>
      </c>
      <c r="H1165" s="10">
        <f>IF(F1164=0,0,G1165/F1164)</f>
        <v/>
      </c>
      <c r="I1165" s="8">
        <f>D1165-E1165</f>
        <v/>
      </c>
      <c r="J1165" s="4">
        <f>IF(F1165&gt;C1165,"Up",IF(F1165&lt;C1165,"Down","Flat"))</f>
        <v/>
      </c>
      <c r="K1165" s="14" t="n">
        <v>118.88</v>
      </c>
      <c r="L1165" s="15" t="n">
        <v>37.7</v>
      </c>
      <c r="M1165" s="14" t="n">
        <v>4654.63</v>
      </c>
      <c r="N1165" s="14" t="n">
        <v>4712.48</v>
      </c>
      <c r="O1165" s="14" t="n">
        <v>4366.24</v>
      </c>
      <c r="P1165" s="4">
        <f>IF(O1165="","",IF(F1165&gt;O1165,"Above","Below"))</f>
        <v/>
      </c>
      <c r="Q1165" s="16" t="n">
        <v>140957</v>
      </c>
      <c r="R1165" s="17" t="n">
        <v>0</v>
      </c>
      <c r="S1165" s="17" t="n">
        <v>0</v>
      </c>
      <c r="T1165" s="17" t="n">
        <v>0</v>
      </c>
      <c r="U1165" s="18" t="n">
        <v>0</v>
      </c>
    </row>
    <row r="1166">
      <c r="A1166" s="13" t="n">
        <v>46162</v>
      </c>
      <c r="B1166" s="4">
        <f>TEXT(A1166,"ddd")</f>
        <v/>
      </c>
      <c r="C1166" s="14" t="n">
        <v>4486.6</v>
      </c>
      <c r="D1166" s="14" t="n">
        <v>4558.4</v>
      </c>
      <c r="E1166" s="14" t="n">
        <v>4455</v>
      </c>
      <c r="F1166" s="14" t="n">
        <v>4535.3</v>
      </c>
      <c r="G1166" s="9">
        <f>F1166-F1165</f>
        <v/>
      </c>
      <c r="H1166" s="10">
        <f>IF(F1165=0,0,G1166/F1165)</f>
        <v/>
      </c>
      <c r="I1166" s="8">
        <f>D1166-E1166</f>
        <v/>
      </c>
      <c r="J1166" s="4">
        <f>IF(F1166&gt;C1166,"Up",IF(F1166&lt;C1166,"Down","Flat"))</f>
        <v/>
      </c>
      <c r="K1166" s="14" t="n">
        <v>117.77</v>
      </c>
      <c r="L1166" s="15" t="n">
        <v>39.89</v>
      </c>
      <c r="M1166" s="14" t="n">
        <v>4643.26</v>
      </c>
      <c r="N1166" s="14" t="n">
        <v>4705.53</v>
      </c>
      <c r="O1166" s="14" t="n">
        <v>4367.92</v>
      </c>
      <c r="P1166" s="4">
        <f>IF(O1166="","",IF(F1166&gt;O1166,"Above","Below"))</f>
        <v/>
      </c>
      <c r="Q1166" s="16" t="n">
        <v>152270</v>
      </c>
      <c r="R1166" s="17" t="n">
        <v>0</v>
      </c>
      <c r="S1166" s="17" t="n">
        <v>0</v>
      </c>
      <c r="T1166" s="17" t="n">
        <v>0</v>
      </c>
      <c r="U1166" s="18" t="n">
        <v>0</v>
      </c>
    </row>
    <row r="1167">
      <c r="A1167" s="13" t="n">
        <v>46163</v>
      </c>
      <c r="B1167" s="4">
        <f>TEXT(A1167,"ddd")</f>
        <v/>
      </c>
      <c r="C1167" s="14" t="n">
        <v>4548</v>
      </c>
      <c r="D1167" s="14" t="n">
        <v>4572.4</v>
      </c>
      <c r="E1167" s="14" t="n">
        <v>4488.3</v>
      </c>
      <c r="F1167" s="14" t="n">
        <v>4542.5</v>
      </c>
      <c r="G1167" s="9">
        <f>F1167-F1166</f>
        <v/>
      </c>
      <c r="H1167" s="10">
        <f>IF(F1166=0,0,G1167/F1166)</f>
        <v/>
      </c>
      <c r="I1167" s="8">
        <f>D1167-E1167</f>
        <v/>
      </c>
      <c r="J1167" s="4">
        <f>IF(F1167&gt;C1167,"Up",IF(F1167&lt;C1167,"Down","Flat"))</f>
        <v/>
      </c>
      <c r="K1167" s="14" t="n">
        <v>115.37</v>
      </c>
      <c r="L1167" s="15" t="n">
        <v>40.57</v>
      </c>
      <c r="M1167" s="14" t="n">
        <v>4633.67</v>
      </c>
      <c r="N1167" s="14" t="n">
        <v>4699.13</v>
      </c>
      <c r="O1167" s="14" t="n">
        <v>4369.66</v>
      </c>
      <c r="P1167" s="4">
        <f>IF(O1167="","",IF(F1167&gt;O1167,"Above","Below"))</f>
        <v/>
      </c>
      <c r="Q1167" s="16" t="n">
        <v>153243</v>
      </c>
      <c r="R1167" s="17" t="n">
        <v>0</v>
      </c>
      <c r="S1167" s="17" t="n">
        <v>0</v>
      </c>
      <c r="T1167" s="17" t="n">
        <v>0</v>
      </c>
      <c r="U1167" s="18" t="n">
        <v>0</v>
      </c>
    </row>
    <row r="1168">
      <c r="A1168" s="13" t="n">
        <v>46164</v>
      </c>
      <c r="B1168" s="4">
        <f>TEXT(A1168,"ddd")</f>
        <v/>
      </c>
      <c r="C1168" s="14" t="n">
        <v>4544.2</v>
      </c>
      <c r="D1168" s="14" t="n">
        <v>4547</v>
      </c>
      <c r="E1168" s="14" t="n">
        <v>4488</v>
      </c>
      <c r="F1168" s="14" t="n">
        <v>4523.2</v>
      </c>
      <c r="G1168" s="9">
        <f>F1168-F1167</f>
        <v/>
      </c>
      <c r="H1168" s="10">
        <f>IF(F1167=0,0,G1168/F1167)</f>
        <v/>
      </c>
      <c r="I1168" s="8">
        <f>D1168-E1168</f>
        <v/>
      </c>
      <c r="J1168" s="4">
        <f>IF(F1168&gt;C1168,"Up",IF(F1168&lt;C1168,"Down","Flat"))</f>
        <v/>
      </c>
      <c r="K1168" s="14" t="n">
        <v>111.34</v>
      </c>
      <c r="L1168" s="15" t="n">
        <v>39.3</v>
      </c>
      <c r="M1168" s="14" t="n">
        <v>4623.15</v>
      </c>
      <c r="N1168" s="14" t="n">
        <v>4692.24</v>
      </c>
      <c r="O1168" s="14" t="n">
        <v>4371.18</v>
      </c>
      <c r="P1168" s="4">
        <f>IF(O1168="","",IF(F1168&gt;O1168,"Above","Below"))</f>
        <v/>
      </c>
      <c r="Q1168" s="16" t="n">
        <v>108508</v>
      </c>
      <c r="R1168" s="17" t="n">
        <v>0</v>
      </c>
      <c r="S1168" s="17" t="n">
        <v>0</v>
      </c>
      <c r="T1168" s="17" t="n">
        <v>0</v>
      </c>
      <c r="U1168" s="18" t="n">
        <v>0</v>
      </c>
    </row>
    <row r="1169">
      <c r="A1169" s="13" t="n">
        <v>46168</v>
      </c>
      <c r="B1169" s="4">
        <f>TEXT(A1169,"ddd")</f>
        <v/>
      </c>
      <c r="C1169" s="14" t="n">
        <v>4532</v>
      </c>
      <c r="D1169" s="14" t="n">
        <v>4583.3</v>
      </c>
      <c r="E1169" s="14" t="n">
        <v>4480</v>
      </c>
      <c r="F1169" s="14" t="n">
        <v>4502.3</v>
      </c>
      <c r="G1169" s="9">
        <f>F1169-F1168</f>
        <v/>
      </c>
      <c r="H1169" s="10">
        <f>IF(F1168=0,0,G1169/F1168)</f>
        <v/>
      </c>
      <c r="I1169" s="8">
        <f>D1169-E1169</f>
        <v/>
      </c>
      <c r="J1169" s="4">
        <f>IF(F1169&gt;C1169,"Up",IF(F1169&lt;C1169,"Down","Flat"))</f>
        <v/>
      </c>
      <c r="K1169" s="14" t="n">
        <v>110.77</v>
      </c>
      <c r="L1169" s="15" t="n">
        <v>37.91</v>
      </c>
      <c r="M1169" s="14" t="n">
        <v>4611.64</v>
      </c>
      <c r="N1169" s="14" t="n">
        <v>4684.79</v>
      </c>
      <c r="O1169" s="14" t="n">
        <v>4372.49</v>
      </c>
      <c r="P1169" s="4">
        <f>IF(O1169="","",IF(F1169&gt;O1169,"Above","Below"))</f>
        <v/>
      </c>
      <c r="Q1169" s="16" t="n">
        <v>254516</v>
      </c>
      <c r="R1169" s="17" t="n">
        <v>0</v>
      </c>
      <c r="S1169" s="17" t="n">
        <v>0</v>
      </c>
      <c r="T1169" s="17" t="n">
        <v>0</v>
      </c>
      <c r="U1169" s="18" t="n">
        <v>0</v>
      </c>
    </row>
    <row r="1170">
      <c r="A1170" s="13" t="n">
        <v>46169</v>
      </c>
      <c r="B1170" s="4">
        <f>TEXT(A1170,"ddd")</f>
        <v/>
      </c>
      <c r="C1170" s="14" t="n">
        <v>4507.4</v>
      </c>
      <c r="D1170" s="14" t="n">
        <v>4528.1</v>
      </c>
      <c r="E1170" s="14" t="n">
        <v>4398.5</v>
      </c>
      <c r="F1170" s="14" t="n">
        <v>4448.4</v>
      </c>
      <c r="G1170" s="9">
        <f>F1170-F1169</f>
        <v/>
      </c>
      <c r="H1170" s="10">
        <f>IF(F1169=0,0,G1170/F1169)</f>
        <v/>
      </c>
      <c r="I1170" s="8">
        <f>D1170-E1170</f>
        <v/>
      </c>
      <c r="J1170" s="4">
        <f>IF(F1170&gt;C1170,"Up",IF(F1170&lt;C1170,"Down","Flat"))</f>
        <v/>
      </c>
      <c r="K1170" s="14" t="n">
        <v>112.11</v>
      </c>
      <c r="L1170" s="15" t="n">
        <v>34.53</v>
      </c>
      <c r="M1170" s="14" t="n">
        <v>4596.09</v>
      </c>
      <c r="N1170" s="14" t="n">
        <v>4675.52</v>
      </c>
      <c r="O1170" s="14" t="n">
        <v>4373.24</v>
      </c>
      <c r="P1170" s="4">
        <f>IF(O1170="","",IF(F1170&gt;O1170,"Above","Below"))</f>
        <v/>
      </c>
      <c r="Q1170" s="16" t="n">
        <v>81062</v>
      </c>
      <c r="R1170" s="17" t="n">
        <v>0</v>
      </c>
      <c r="S1170" s="17" t="n">
        <v>0</v>
      </c>
      <c r="T1170" s="17" t="n">
        <v>0</v>
      </c>
      <c r="U1170" s="18" t="n">
        <v>0</v>
      </c>
    </row>
    <row r="1171">
      <c r="A1171" s="13" t="n">
        <v>46170</v>
      </c>
      <c r="B1171" s="4">
        <f>TEXT(A1171,"ddd")</f>
        <v/>
      </c>
      <c r="C1171" s="14" t="n">
        <v>4453.6</v>
      </c>
      <c r="D1171" s="14" t="n">
        <v>4512.6</v>
      </c>
      <c r="E1171" s="14" t="n">
        <v>4363.5</v>
      </c>
      <c r="F1171" s="14" t="n">
        <v>4499.3</v>
      </c>
      <c r="G1171" s="9">
        <f>F1171-F1170</f>
        <v/>
      </c>
      <c r="H1171" s="10">
        <f>IF(F1170=0,0,G1171/F1170)</f>
        <v/>
      </c>
      <c r="I1171" s="8">
        <f>D1171-E1171</f>
        <v/>
      </c>
      <c r="J1171" s="4">
        <f>IF(F1171&gt;C1171,"Up",IF(F1171&lt;C1171,"Down","Flat"))</f>
        <v/>
      </c>
      <c r="K1171" s="14" t="n">
        <v>114.75</v>
      </c>
      <c r="L1171" s="15" t="n">
        <v>39.97</v>
      </c>
      <c r="M1171" s="14" t="n">
        <v>4586.87</v>
      </c>
      <c r="N1171" s="14" t="n">
        <v>4668.61</v>
      </c>
      <c r="O1171" s="14" t="n">
        <v>4374.5</v>
      </c>
      <c r="P1171" s="4">
        <f>IF(O1171="","",IF(F1171&gt;O1171,"Above","Below"))</f>
        <v/>
      </c>
      <c r="Q1171" s="16" t="n">
        <v>153472</v>
      </c>
      <c r="R1171" s="17" t="n">
        <v>0</v>
      </c>
      <c r="S1171" s="17" t="n">
        <v>0</v>
      </c>
      <c r="T1171" s="17" t="n">
        <v>0</v>
      </c>
      <c r="U1171" s="18" t="n">
        <v>0</v>
      </c>
    </row>
    <row r="1172">
      <c r="A1172" s="13" t="n">
        <v>46171</v>
      </c>
      <c r="B1172" s="4">
        <f>TEXT(A1172,"ddd")</f>
        <v/>
      </c>
      <c r="C1172" s="14" t="n">
        <v>4527.6</v>
      </c>
      <c r="D1172" s="14" t="n">
        <v>4627.1</v>
      </c>
      <c r="E1172" s="14" t="n">
        <v>4519.5</v>
      </c>
      <c r="F1172" s="14" t="n">
        <v>4593</v>
      </c>
      <c r="G1172" s="9">
        <f>F1172-F1171</f>
        <v/>
      </c>
      <c r="H1172" s="10">
        <f>IF(F1171=0,0,G1172/F1171)</f>
        <v/>
      </c>
      <c r="I1172" s="8">
        <f>D1172-E1172</f>
        <v/>
      </c>
      <c r="J1172" s="4">
        <f>IF(F1172&gt;C1172,"Up",IF(F1172&lt;C1172,"Down","Flat"))</f>
        <v/>
      </c>
      <c r="K1172" s="14" t="n">
        <v>115.69</v>
      </c>
      <c r="L1172" s="15" t="n">
        <v>48.47</v>
      </c>
      <c r="M1172" s="14" t="n">
        <v>4587.46</v>
      </c>
      <c r="N1172" s="14" t="n">
        <v>4665.64</v>
      </c>
      <c r="O1172" s="14" t="n">
        <v>4376.67</v>
      </c>
      <c r="P1172" s="4">
        <f>IF(O1172="","",IF(F1172&gt;O1172,"Above","Below"))</f>
        <v/>
      </c>
      <c r="Q1172" s="16" t="n">
        <v>133439</v>
      </c>
      <c r="R1172" s="17" t="n">
        <v>0</v>
      </c>
      <c r="S1172" s="17" t="n">
        <v>0</v>
      </c>
      <c r="T1172" s="17" t="n">
        <v>0</v>
      </c>
      <c r="U1172" s="18" t="n">
        <v>0</v>
      </c>
    </row>
    <row r="1173">
      <c r="A1173" s="13" t="n">
        <v>46174</v>
      </c>
      <c r="B1173" s="4">
        <f>TEXT(A1173,"ddd")</f>
        <v/>
      </c>
      <c r="C1173" s="14" t="n">
        <v>4575.2</v>
      </c>
      <c r="D1173" s="14" t="n">
        <v>4577.3</v>
      </c>
      <c r="E1173" s="14" t="n">
        <v>4476</v>
      </c>
      <c r="F1173" s="14" t="n">
        <v>4506.3</v>
      </c>
      <c r="G1173" s="9">
        <f>F1173-F1172</f>
        <v/>
      </c>
      <c r="H1173" s="10">
        <f>IF(F1172=0,0,G1173/F1172)</f>
        <v/>
      </c>
      <c r="I1173" s="8">
        <f>D1173-E1173</f>
        <v/>
      </c>
      <c r="J1173" s="4">
        <f>IF(F1173&gt;C1173,"Up",IF(F1173&lt;C1173,"Down","Flat"))</f>
        <v/>
      </c>
      <c r="K1173" s="14" t="n">
        <v>115.78</v>
      </c>
      <c r="L1173" s="15" t="n">
        <v>42.48</v>
      </c>
      <c r="M1173" s="14" t="n">
        <v>4579.73</v>
      </c>
      <c r="N1173" s="14" t="n">
        <v>4659.39</v>
      </c>
      <c r="O1173" s="14" t="n">
        <v>4377.96</v>
      </c>
      <c r="P1173" s="4">
        <f>IF(O1173="","",IF(F1173&gt;O1173,"Above","Below"))</f>
        <v/>
      </c>
      <c r="Q1173" s="16" t="n">
        <v>116787</v>
      </c>
      <c r="R1173" s="17" t="n">
        <v>0</v>
      </c>
      <c r="S1173" s="17" t="n">
        <v>0</v>
      </c>
      <c r="T1173" s="17" t="n">
        <v>0</v>
      </c>
      <c r="U1173" s="18" t="n">
        <v>0</v>
      </c>
    </row>
    <row r="1174">
      <c r="A1174" s="13" t="n">
        <v>46175</v>
      </c>
      <c r="B1174" s="4">
        <f>TEXT(A1174,"ddd")</f>
        <v/>
      </c>
      <c r="C1174" s="14" t="n">
        <v>4515.8</v>
      </c>
      <c r="D1174" s="14" t="n">
        <v>4571.3</v>
      </c>
      <c r="E1174" s="14" t="n">
        <v>4492.3</v>
      </c>
      <c r="F1174" s="14" t="n">
        <v>4519.9</v>
      </c>
      <c r="G1174" s="9">
        <f>F1174-F1173</f>
        <v/>
      </c>
      <c r="H1174" s="10">
        <f>IF(F1173=0,0,G1174/F1173)</f>
        <v/>
      </c>
      <c r="I1174" s="8">
        <f>D1174-E1174</f>
        <v/>
      </c>
      <c r="J1174" s="4">
        <f>IF(F1174&gt;C1174,"Up",IF(F1174&lt;C1174,"Down","Flat"))</f>
        <v/>
      </c>
      <c r="K1174" s="14" t="n">
        <v>113.15</v>
      </c>
      <c r="L1174" s="15" t="n">
        <v>43.66</v>
      </c>
      <c r="M1174" s="14" t="n">
        <v>4574.03</v>
      </c>
      <c r="N1174" s="14" t="n">
        <v>4653.92</v>
      </c>
      <c r="O1174" s="14" t="n">
        <v>4379.37</v>
      </c>
      <c r="P1174" s="4">
        <f>IF(O1174="","",IF(F1174&gt;O1174,"Above","Below"))</f>
        <v/>
      </c>
      <c r="Q1174" s="16" t="n">
        <v>100306</v>
      </c>
      <c r="R1174" s="17" t="n">
        <v>0</v>
      </c>
      <c r="S1174" s="17" t="n">
        <v>0</v>
      </c>
      <c r="T1174" s="17" t="n">
        <v>0</v>
      </c>
      <c r="U1174" s="18" t="n">
        <v>0</v>
      </c>
    </row>
    <row r="1175">
      <c r="A1175" s="13" t="n">
        <v>46176</v>
      </c>
      <c r="B1175" s="4">
        <f>TEXT(A1175,"ddd")</f>
        <v/>
      </c>
      <c r="C1175" s="14" t="n">
        <v>4520</v>
      </c>
      <c r="D1175" s="14" t="n">
        <v>4525.1</v>
      </c>
      <c r="E1175" s="14" t="n">
        <v>4454</v>
      </c>
      <c r="F1175" s="14" t="n">
        <v>4466.9</v>
      </c>
      <c r="G1175" s="9">
        <f>F1175-F1174</f>
        <v/>
      </c>
      <c r="H1175" s="10">
        <f>IF(F1174=0,0,G1175/F1174)</f>
        <v/>
      </c>
      <c r="I1175" s="8">
        <f>D1175-E1175</f>
        <v/>
      </c>
      <c r="J1175" s="4">
        <f>IF(F1175&gt;C1175,"Up",IF(F1175&lt;C1175,"Down","Flat"))</f>
        <v/>
      </c>
      <c r="K1175" s="14" t="n">
        <v>110.15</v>
      </c>
      <c r="L1175" s="15" t="n">
        <v>40.2</v>
      </c>
      <c r="M1175" s="14" t="n">
        <v>4563.83</v>
      </c>
      <c r="N1175" s="14" t="n">
        <v>4646.59</v>
      </c>
      <c r="O1175" s="14" t="n">
        <v>4380.25</v>
      </c>
      <c r="P1175" s="4">
        <f>IF(O1175="","",IF(F1175&gt;O1175,"Above","Below"))</f>
        <v/>
      </c>
      <c r="Q1175" s="16" t="n">
        <v>106691</v>
      </c>
      <c r="R1175" s="17" t="n">
        <v>0</v>
      </c>
      <c r="S1175" s="17" t="n">
        <v>0</v>
      </c>
      <c r="T1175" s="17" t="n">
        <v>0</v>
      </c>
      <c r="U1175" s="18" t="n">
        <v>0</v>
      </c>
    </row>
    <row r="1176">
      <c r="A1176" s="13" t="n">
        <v>46177</v>
      </c>
      <c r="B1176" s="4">
        <f>TEXT(A1176,"ddd")</f>
        <v/>
      </c>
      <c r="C1176" s="14" t="n">
        <v>4462.6</v>
      </c>
      <c r="D1176" s="14" t="n">
        <v>4543.2</v>
      </c>
      <c r="E1176" s="14" t="n">
        <v>4450.1</v>
      </c>
      <c r="F1176" s="14" t="n">
        <v>4505</v>
      </c>
      <c r="G1176" s="9">
        <f>F1176-F1175</f>
        <v/>
      </c>
      <c r="H1176" s="10">
        <f>IF(F1175=0,0,G1176/F1175)</f>
        <v/>
      </c>
      <c r="I1176" s="8">
        <f>D1176-E1176</f>
        <v/>
      </c>
      <c r="J1176" s="4">
        <f>IF(F1176&gt;C1176,"Up",IF(F1176&lt;C1176,"Down","Flat"))</f>
        <v/>
      </c>
      <c r="K1176" s="14" t="n">
        <v>108.93</v>
      </c>
      <c r="L1176" s="15" t="n">
        <v>43.65</v>
      </c>
      <c r="M1176" s="14" t="n">
        <v>4558.22</v>
      </c>
      <c r="N1176" s="14" t="n">
        <v>4641.04</v>
      </c>
      <c r="O1176" s="14" t="n">
        <v>4381.49</v>
      </c>
      <c r="P1176" s="4">
        <f>IF(O1176="","",IF(F1176&gt;O1176,"Above","Below"))</f>
        <v/>
      </c>
      <c r="Q1176" s="16" t="n">
        <v>109643</v>
      </c>
      <c r="R1176" s="17" t="n">
        <v>0</v>
      </c>
      <c r="S1176" s="17" t="n">
        <v>0</v>
      </c>
      <c r="T1176" s="17" t="n">
        <v>0</v>
      </c>
      <c r="U1176" s="18" t="n">
        <v>0</v>
      </c>
    </row>
    <row r="1177">
      <c r="A1177" s="13" t="n">
        <v>46178</v>
      </c>
      <c r="B1177" s="4">
        <f>TEXT(A1177,"ddd")</f>
        <v/>
      </c>
      <c r="C1177" s="14" t="n">
        <v>4503</v>
      </c>
      <c r="D1177" s="14" t="n">
        <v>4508.7</v>
      </c>
      <c r="E1177" s="14" t="n">
        <v>4336.6</v>
      </c>
      <c r="F1177" s="14" t="n">
        <v>4365.3</v>
      </c>
      <c r="G1177" s="9">
        <f>F1177-F1176</f>
        <v/>
      </c>
      <c r="H1177" s="10">
        <f>IF(F1176=0,0,G1177/F1176)</f>
        <v/>
      </c>
      <c r="I1177" s="8">
        <f>D1177-E1177</f>
        <v/>
      </c>
      <c r="J1177" s="4">
        <f>IF(F1177&gt;C1177,"Up",IF(F1177&lt;C1177,"Down","Flat"))</f>
        <v/>
      </c>
      <c r="K1177" s="14" t="n">
        <v>113.44</v>
      </c>
      <c r="L1177" s="15" t="n">
        <v>35.56</v>
      </c>
      <c r="M1177" s="14" t="n">
        <v>4539.85</v>
      </c>
      <c r="N1177" s="14" t="n">
        <v>4630.22</v>
      </c>
      <c r="O1177" s="14" t="n">
        <v>4381.33</v>
      </c>
      <c r="P1177" s="4">
        <f>IF(O1177="","",IF(F1177&gt;O1177,"Above","Below"))</f>
        <v/>
      </c>
      <c r="Q1177" s="16" t="n">
        <v>179306</v>
      </c>
      <c r="R1177" s="17" t="n">
        <v>0</v>
      </c>
      <c r="S1177" s="17" t="n">
        <v>0</v>
      </c>
      <c r="T1177" s="17" t="n">
        <v>0</v>
      </c>
      <c r="U1177" s="18" t="n">
        <v>0</v>
      </c>
    </row>
    <row r="1178">
      <c r="A1178" s="13" t="n">
        <v>46181</v>
      </c>
      <c r="B1178" s="4">
        <f>TEXT(A1178,"ddd")</f>
        <v/>
      </c>
      <c r="C1178" s="14" t="n">
        <v>4354</v>
      </c>
      <c r="D1178" s="14" t="n">
        <v>4377.5</v>
      </c>
      <c r="E1178" s="14" t="n">
        <v>4293</v>
      </c>
      <c r="F1178" s="14" t="n">
        <v>4363.4</v>
      </c>
      <c r="G1178" s="9">
        <f>F1178-F1177</f>
        <v/>
      </c>
      <c r="H1178" s="10">
        <f>IF(F1177=0,0,G1178/F1177)</f>
        <v/>
      </c>
      <c r="I1178" s="8">
        <f>D1178-E1178</f>
        <v/>
      </c>
      <c r="J1178" s="4">
        <f>IF(F1178&gt;C1178,"Up",IF(F1178&lt;C1178,"Down","Flat"))</f>
        <v/>
      </c>
      <c r="K1178" s="14" t="n">
        <v>111.38</v>
      </c>
      <c r="L1178" s="15" t="n">
        <v>35.46</v>
      </c>
      <c r="M1178" s="14" t="n">
        <v>4523.05</v>
      </c>
      <c r="N1178" s="14" t="n">
        <v>4619.76</v>
      </c>
      <c r="O1178" s="14" t="n">
        <v>4381.15</v>
      </c>
      <c r="P1178" s="4">
        <f>IF(O1178="","",IF(F1178&gt;O1178,"Above","Below"))</f>
        <v/>
      </c>
      <c r="Q1178" s="16" t="n">
        <v>144089</v>
      </c>
      <c r="R1178" s="17" t="n">
        <v>0</v>
      </c>
      <c r="S1178" s="17" t="n">
        <v>0</v>
      </c>
      <c r="T1178" s="17" t="n">
        <v>0</v>
      </c>
      <c r="U1178" s="18" t="n">
        <v>0</v>
      </c>
    </row>
    <row r="1179">
      <c r="A1179" s="13" t="n">
        <v>46182</v>
      </c>
      <c r="B1179" s="4">
        <f>TEXT(A1179,"ddd")</f>
        <v/>
      </c>
      <c r="C1179" s="14" t="n">
        <v>4354.7</v>
      </c>
      <c r="D1179" s="14" t="n">
        <v>4388.6</v>
      </c>
      <c r="E1179" s="14" t="n">
        <v>4259.9</v>
      </c>
      <c r="F1179" s="14" t="n">
        <v>4286.4</v>
      </c>
      <c r="G1179" s="9">
        <f>F1179-F1178</f>
        <v/>
      </c>
      <c r="H1179" s="10">
        <f>IF(F1178=0,0,G1179/F1178)</f>
        <v/>
      </c>
      <c r="I1179" s="8">
        <f>D1179-E1179</f>
        <v/>
      </c>
      <c r="J1179" s="4">
        <f>IF(F1179&gt;C1179,"Up",IF(F1179&lt;C1179,"Down","Flat"))</f>
        <v/>
      </c>
      <c r="K1179" s="14" t="n">
        <v>112.61</v>
      </c>
      <c r="L1179" s="15" t="n">
        <v>31.71</v>
      </c>
      <c r="M1179" s="14" t="n">
        <v>4500.51</v>
      </c>
      <c r="N1179" s="14" t="n">
        <v>4606.69</v>
      </c>
      <c r="O1179" s="14" t="n">
        <v>4380.2</v>
      </c>
      <c r="P1179" s="4">
        <f>IF(O1179="","",IF(F1179&gt;O1179,"Above","Below"))</f>
        <v/>
      </c>
      <c r="Q1179" s="16" t="n">
        <v>138100</v>
      </c>
      <c r="R1179" s="17" t="n">
        <v>0</v>
      </c>
      <c r="S1179" s="17" t="n">
        <v>0</v>
      </c>
      <c r="T1179" s="17" t="n">
        <v>0</v>
      </c>
      <c r="U1179" s="18" t="n">
        <v>0</v>
      </c>
    </row>
    <row r="1180">
      <c r="A1180" s="13" t="n">
        <v>46183</v>
      </c>
      <c r="B1180" s="4">
        <f>TEXT(A1180,"ddd")</f>
        <v/>
      </c>
      <c r="C1180" s="14" t="n">
        <v>4276.1</v>
      </c>
      <c r="D1180" s="14" t="n">
        <v>4281.1</v>
      </c>
      <c r="E1180" s="14" t="n">
        <v>4090.1</v>
      </c>
      <c r="F1180" s="14" t="n">
        <v>4133.3</v>
      </c>
      <c r="G1180" s="9">
        <f>F1180-F1179</f>
        <v/>
      </c>
      <c r="H1180" s="10">
        <f>IF(F1179=0,0,G1180/F1179)</f>
        <v/>
      </c>
      <c r="I1180" s="8">
        <f>D1180-E1180</f>
        <v/>
      </c>
      <c r="J1180" s="4">
        <f>IF(F1180&gt;C1180,"Up",IF(F1180&lt;C1180,"Down","Flat"))</f>
        <v/>
      </c>
      <c r="K1180" s="14" t="n">
        <v>118.59</v>
      </c>
      <c r="L1180" s="15" t="n">
        <v>25.85</v>
      </c>
      <c r="M1180" s="14" t="n">
        <v>4465.54</v>
      </c>
      <c r="N1180" s="14" t="n">
        <v>4588.12</v>
      </c>
      <c r="O1180" s="14" t="n">
        <v>4377.75</v>
      </c>
      <c r="P1180" s="4">
        <f>IF(O1180="","",IF(F1180&gt;O1180,"Above","Below"))</f>
        <v/>
      </c>
      <c r="Q1180" s="16" t="n">
        <v>206026</v>
      </c>
      <c r="R1180" s="17" t="n">
        <v>0</v>
      </c>
      <c r="S1180" s="17" t="n">
        <v>0</v>
      </c>
      <c r="T1180" s="17" t="n">
        <v>0</v>
      </c>
      <c r="U1180" s="18" t="n">
        <v>0</v>
      </c>
    </row>
    <row r="1181">
      <c r="A1181" s="13" t="n">
        <v>46184</v>
      </c>
      <c r="B1181" s="4">
        <f>TEXT(A1181,"ddd")</f>
        <v/>
      </c>
      <c r="C1181" s="14" t="n">
        <v>4094.4</v>
      </c>
      <c r="D1181" s="14" t="n">
        <v>4241.3</v>
      </c>
      <c r="E1181" s="14" t="n">
        <v>4046.2</v>
      </c>
      <c r="F1181" s="14" t="n">
        <v>4114</v>
      </c>
      <c r="G1181" s="9">
        <f>F1181-F1180</f>
        <v/>
      </c>
      <c r="H1181" s="10">
        <f>IF(F1180=0,0,G1181/F1180)</f>
        <v/>
      </c>
      <c r="I1181" s="8">
        <f>D1181-E1181</f>
        <v/>
      </c>
      <c r="J1181" s="4">
        <f>IF(F1181&gt;C1181,"Up",IF(F1181&lt;C1181,"Down","Flat"))</f>
        <v/>
      </c>
      <c r="K1181" s="14" t="n">
        <v>124.06</v>
      </c>
      <c r="L1181" s="15" t="n">
        <v>25.22</v>
      </c>
      <c r="M1181" s="14" t="n">
        <v>4432.06</v>
      </c>
      <c r="N1181" s="14" t="n">
        <v>4569.53</v>
      </c>
      <c r="O1181" s="14" t="n">
        <v>4375.12</v>
      </c>
      <c r="P1181" s="4">
        <f>IF(O1181="","",IF(F1181&gt;O1181,"Above","Below"))</f>
        <v/>
      </c>
      <c r="Q1181" s="16" t="n">
        <v>206270</v>
      </c>
      <c r="R1181" s="17" t="n">
        <v>0</v>
      </c>
      <c r="S1181" s="17" t="n">
        <v>0</v>
      </c>
      <c r="T1181" s="17" t="n">
        <v>0</v>
      </c>
      <c r="U1181" s="18" t="n">
        <v>0</v>
      </c>
    </row>
    <row r="1182">
      <c r="A1182" s="13" t="n">
        <v>46185</v>
      </c>
      <c r="B1182" s="4">
        <f>TEXT(A1182,"ddd")</f>
        <v/>
      </c>
      <c r="C1182" s="14" t="n">
        <v>4234.9</v>
      </c>
      <c r="D1182" s="14" t="n">
        <v>4267.8</v>
      </c>
      <c r="E1182" s="14" t="n">
        <v>4191.1</v>
      </c>
      <c r="F1182" s="14" t="n">
        <v>4238.8</v>
      </c>
      <c r="G1182" s="9">
        <f>F1182-F1181</f>
        <v/>
      </c>
      <c r="H1182" s="10">
        <f>IF(F1181=0,0,G1182/F1181)</f>
        <v/>
      </c>
      <c r="I1182" s="8">
        <f>D1182-E1182</f>
        <v/>
      </c>
      <c r="J1182" s="4">
        <f>IF(F1182&gt;C1182,"Up",IF(F1182&lt;C1182,"Down","Flat"))</f>
        <v/>
      </c>
      <c r="K1182" s="14" t="n">
        <v>126.18</v>
      </c>
      <c r="L1182" s="15" t="n">
        <v>36.1</v>
      </c>
      <c r="M1182" s="14" t="n">
        <v>4413.65</v>
      </c>
      <c r="N1182" s="14" t="n">
        <v>4556.56</v>
      </c>
      <c r="O1182" s="14" t="n">
        <v>4373.77</v>
      </c>
      <c r="P1182" s="4">
        <f>IF(O1182="","",IF(F1182&gt;O1182,"Above","Below"))</f>
        <v/>
      </c>
      <c r="Q1182" s="16" t="n">
        <v>136146</v>
      </c>
      <c r="R1182" s="17" t="n">
        <v>0</v>
      </c>
      <c r="S1182" s="17" t="n">
        <v>0</v>
      </c>
      <c r="T1182" s="17" t="n">
        <v>0</v>
      </c>
      <c r="U1182" s="18" t="n">
        <v>0</v>
      </c>
    </row>
    <row r="1183">
      <c r="A1183" s="13" t="n">
        <v>46188</v>
      </c>
      <c r="B1183" s="4">
        <f>TEXT(A1183,"ddd")</f>
        <v/>
      </c>
      <c r="C1183" s="14" t="n">
        <v>4289.4</v>
      </c>
      <c r="D1183" s="14" t="n">
        <v>4391.5</v>
      </c>
      <c r="E1183" s="14" t="n">
        <v>4283.4</v>
      </c>
      <c r="F1183" s="14" t="n">
        <v>4351.6</v>
      </c>
      <c r="G1183" s="9">
        <f>F1183-F1182</f>
        <v/>
      </c>
      <c r="H1183" s="10">
        <f>IF(F1182=0,0,G1183/F1182)</f>
        <v/>
      </c>
      <c r="I1183" s="8">
        <f>D1183-E1183</f>
        <v/>
      </c>
      <c r="J1183" s="4">
        <f>IF(F1183&gt;C1183,"Up",IF(F1183&lt;C1183,"Down","Flat"))</f>
        <v/>
      </c>
      <c r="K1183" s="14" t="n">
        <v>128.07</v>
      </c>
      <c r="L1183" s="15" t="n">
        <v>44.03</v>
      </c>
      <c r="M1183" s="14" t="n">
        <v>4407.74</v>
      </c>
      <c r="N1183" s="14" t="n">
        <v>4548.52</v>
      </c>
      <c r="O1183" s="14" t="n">
        <v>4373.55</v>
      </c>
      <c r="P1183" s="4">
        <f>IF(O1183="","",IF(F1183&gt;O1183,"Above","Below"))</f>
        <v/>
      </c>
      <c r="Q1183" s="16" t="n">
        <v>132136</v>
      </c>
      <c r="R1183" s="17" t="n">
        <v>0</v>
      </c>
      <c r="S1183" s="17" t="n">
        <v>0</v>
      </c>
      <c r="T1183" s="17" t="n">
        <v>0</v>
      </c>
      <c r="U1183" s="18" t="n">
        <v>0</v>
      </c>
    </row>
    <row r="1184">
      <c r="A1184" s="13" t="n">
        <v>46189</v>
      </c>
      <c r="B1184" s="4">
        <f>TEXT(A1184,"ddd")</f>
        <v/>
      </c>
      <c r="C1184" s="14" t="n">
        <v>4331.3</v>
      </c>
      <c r="D1184" s="14" t="n">
        <v>4376.5</v>
      </c>
      <c r="E1184" s="14" t="n">
        <v>4326.7</v>
      </c>
      <c r="F1184" s="14" t="n">
        <v>4354.4</v>
      </c>
      <c r="G1184" s="9">
        <f>F1184-F1183</f>
        <v/>
      </c>
      <c r="H1184" s="10">
        <f>IF(F1183=0,0,G1184/F1183)</f>
        <v/>
      </c>
      <c r="I1184" s="8">
        <f>D1184-E1184</f>
        <v/>
      </c>
      <c r="J1184" s="4">
        <f>IF(F1184&gt;C1184,"Up",IF(F1184&lt;C1184,"Down","Flat"))</f>
        <v/>
      </c>
      <c r="K1184" s="14" t="n">
        <v>122.48</v>
      </c>
      <c r="L1184" s="15" t="n">
        <v>44.22</v>
      </c>
      <c r="M1184" s="14" t="n">
        <v>4402.66</v>
      </c>
      <c r="N1184" s="14" t="n">
        <v>4540.91</v>
      </c>
      <c r="O1184" s="14" t="n">
        <v>4373.36</v>
      </c>
      <c r="P1184" s="4">
        <f>IF(O1184="","",IF(F1184&gt;O1184,"Above","Below"))</f>
        <v/>
      </c>
      <c r="Q1184" s="16" t="n">
        <v>89925</v>
      </c>
      <c r="R1184" s="17" t="n">
        <v>0</v>
      </c>
      <c r="S1184" s="17" t="n">
        <v>0</v>
      </c>
      <c r="T1184" s="17" t="n">
        <v>0</v>
      </c>
      <c r="U1184" s="18" t="n">
        <v>0</v>
      </c>
    </row>
    <row r="1185">
      <c r="A1185" s="13" t="n">
        <v>46190</v>
      </c>
      <c r="B1185" s="4">
        <f>TEXT(A1185,"ddd")</f>
        <v/>
      </c>
      <c r="C1185" s="14" t="n">
        <v>4352.6</v>
      </c>
      <c r="D1185" s="14" t="n">
        <v>4403.6</v>
      </c>
      <c r="E1185" s="14" t="n">
        <v>4237.4</v>
      </c>
      <c r="F1185" s="14" t="n">
        <v>4381.4</v>
      </c>
      <c r="G1185" s="9">
        <f>F1185-F1184</f>
        <v/>
      </c>
      <c r="H1185" s="10">
        <f>IF(F1184=0,0,G1185/F1184)</f>
        <v/>
      </c>
      <c r="I1185" s="8">
        <f>D1185-E1185</f>
        <v/>
      </c>
      <c r="J1185" s="4">
        <f>IF(F1185&gt;C1185,"Up",IF(F1185&lt;C1185,"Down","Flat"))</f>
        <v/>
      </c>
      <c r="K1185" s="14" t="n">
        <v>125.61</v>
      </c>
      <c r="L1185" s="15" t="n">
        <v>46.07</v>
      </c>
      <c r="M1185" s="14" t="n">
        <v>4400.64</v>
      </c>
      <c r="N1185" s="14" t="n">
        <v>4534.65</v>
      </c>
      <c r="O1185" s="14" t="n">
        <v>4373.44</v>
      </c>
      <c r="P1185" s="4">
        <f>IF(O1185="","",IF(F1185&gt;O1185,"Above","Below"))</f>
        <v/>
      </c>
      <c r="Q1185" s="16" t="n">
        <v>160543</v>
      </c>
      <c r="R1185" s="17" t="n">
        <v>0</v>
      </c>
      <c r="S1185" s="17" t="n">
        <v>0</v>
      </c>
      <c r="T1185" s="17" t="n">
        <v>0</v>
      </c>
      <c r="U1185" s="18" t="n">
        <v>0</v>
      </c>
    </row>
    <row r="1186">
      <c r="A1186" s="13" t="n">
        <v>46191</v>
      </c>
      <c r="B1186" s="4">
        <f>TEXT(A1186,"ddd")</f>
        <v/>
      </c>
      <c r="C1186" s="14" t="n">
        <v>4275.1</v>
      </c>
      <c r="D1186" s="14" t="n">
        <v>4350.2</v>
      </c>
      <c r="E1186" s="14" t="n">
        <v>4220.3</v>
      </c>
      <c r="F1186" s="14" t="n">
        <v>4245.9</v>
      </c>
      <c r="G1186" s="9">
        <f>F1186-F1185</f>
        <v/>
      </c>
      <c r="H1186" s="10">
        <f>IF(F1185=0,0,G1186/F1185)</f>
        <v/>
      </c>
      <c r="I1186" s="8">
        <f>D1186-E1186</f>
        <v/>
      </c>
      <c r="J1186" s="4">
        <f>IF(F1186&gt;C1186,"Up",IF(F1186&lt;C1186,"Down","Flat"))</f>
        <v/>
      </c>
      <c r="K1186" s="14" t="n">
        <v>128.14</v>
      </c>
      <c r="L1186" s="15" t="n">
        <v>39.06</v>
      </c>
      <c r="M1186" s="14" t="n">
        <v>4385.9</v>
      </c>
      <c r="N1186" s="14" t="n">
        <v>4523.33</v>
      </c>
      <c r="O1186" s="14" t="n">
        <v>4372.17</v>
      </c>
      <c r="P1186" s="4">
        <f>IF(O1186="","",IF(F1186&gt;O1186,"Above","Below"))</f>
        <v/>
      </c>
      <c r="Q1186" s="16" t="n">
        <v>139534</v>
      </c>
      <c r="R1186" s="17" t="n">
        <v>0</v>
      </c>
      <c r="S1186" s="17" t="n">
        <v>0</v>
      </c>
      <c r="T1186" s="17" t="n">
        <v>0</v>
      </c>
      <c r="U1186" s="18" t="n">
        <v>0</v>
      </c>
    </row>
    <row r="1187">
      <c r="A1187" s="13" t="n">
        <v>46195</v>
      </c>
      <c r="B1187" s="4">
        <f>TEXT(A1187,"ddd")</f>
        <v/>
      </c>
      <c r="C1187" s="14" t="n">
        <v>4163.9</v>
      </c>
      <c r="D1187" s="14" t="n">
        <v>4238.1</v>
      </c>
      <c r="E1187" s="14" t="n">
        <v>4151.4</v>
      </c>
      <c r="F1187" s="14" t="n">
        <v>4202.7</v>
      </c>
      <c r="G1187" s="9">
        <f>F1187-F1186</f>
        <v/>
      </c>
      <c r="H1187" s="10">
        <f>IF(F1186=0,0,G1187/F1186)</f>
        <v/>
      </c>
      <c r="I1187" s="8">
        <f>D1187-E1187</f>
        <v/>
      </c>
      <c r="J1187" s="4">
        <f>IF(F1187&gt;C1187,"Up",IF(F1187&lt;C1187,"Down","Flat"))</f>
        <v/>
      </c>
      <c r="K1187" s="14" t="n">
        <v>125.74</v>
      </c>
      <c r="L1187" s="15" t="n">
        <v>37.12</v>
      </c>
      <c r="M1187" s="14" t="n">
        <v>4368.45</v>
      </c>
      <c r="N1187" s="14" t="n">
        <v>4510.76</v>
      </c>
      <c r="O1187" s="14" t="n">
        <v>4370.48</v>
      </c>
      <c r="P1187" s="4">
        <f>IF(O1187="","",IF(F1187&gt;O1187,"Above","Below"))</f>
        <v/>
      </c>
      <c r="Q1187" s="16" t="n">
        <v>177657</v>
      </c>
      <c r="R1187" s="17" t="n">
        <v>0</v>
      </c>
      <c r="S1187" s="17" t="n">
        <v>0</v>
      </c>
      <c r="T1187" s="17" t="n">
        <v>0</v>
      </c>
      <c r="U1187" s="18" t="n">
        <v>0</v>
      </c>
    </row>
    <row r="1188">
      <c r="A1188" s="13" t="n">
        <v>46196</v>
      </c>
      <c r="B1188" s="4">
        <f>TEXT(A1188,"ddd")</f>
        <v/>
      </c>
      <c r="C1188" s="14" t="n">
        <v>4210.8</v>
      </c>
      <c r="D1188" s="14" t="n">
        <v>4216</v>
      </c>
      <c r="E1188" s="14" t="n">
        <v>4108.2</v>
      </c>
      <c r="F1188" s="14" t="n">
        <v>4149.4</v>
      </c>
      <c r="G1188" s="9">
        <f>F1188-F1187</f>
        <v/>
      </c>
      <c r="H1188" s="10">
        <f>IF(F1187=0,0,G1188/F1187)</f>
        <v/>
      </c>
      <c r="I1188" s="8">
        <f>D1188-E1188</f>
        <v/>
      </c>
      <c r="J1188" s="4">
        <f>IF(F1188&gt;C1188,"Up",IF(F1188&lt;C1188,"Down","Flat"))</f>
        <v/>
      </c>
      <c r="K1188" s="14" t="n">
        <v>124.46</v>
      </c>
      <c r="L1188" s="15" t="n">
        <v>34.83</v>
      </c>
      <c r="M1188" s="14" t="n">
        <v>4347.59</v>
      </c>
      <c r="N1188" s="14" t="n">
        <v>4496.59</v>
      </c>
      <c r="O1188" s="14" t="n">
        <v>4368.28</v>
      </c>
      <c r="P1188" s="4">
        <f>IF(O1188="","",IF(F1188&gt;O1188,"Above","Below"))</f>
        <v/>
      </c>
      <c r="Q1188" s="16" t="n">
        <v>118495</v>
      </c>
      <c r="R1188" s="17" t="n">
        <v>0</v>
      </c>
      <c r="S1188" s="17" t="n">
        <v>0</v>
      </c>
      <c r="T1188" s="17" t="n">
        <v>0</v>
      </c>
      <c r="U1188" s="18" t="n">
        <v>0</v>
      </c>
    </row>
    <row r="1189">
      <c r="A1189" s="13" t="n">
        <v>46197</v>
      </c>
      <c r="B1189" s="4">
        <f>TEXT(A1189,"ddd")</f>
        <v/>
      </c>
      <c r="C1189" s="14" t="n">
        <v>4130</v>
      </c>
      <c r="D1189" s="14" t="n">
        <v>4132.4</v>
      </c>
      <c r="E1189" s="14" t="n">
        <v>3975.7</v>
      </c>
      <c r="F1189" s="14" t="n">
        <v>4008.8</v>
      </c>
      <c r="G1189" s="9">
        <f>F1189-F1188</f>
        <v/>
      </c>
      <c r="H1189" s="10">
        <f>IF(F1188=0,0,G1189/F1188)</f>
        <v/>
      </c>
      <c r="I1189" s="8">
        <f>D1189-E1189</f>
        <v/>
      </c>
      <c r="J1189" s="4">
        <f>IF(F1189&gt;C1189,"Up",IF(F1189&lt;C1189,"Down","Flat"))</f>
        <v/>
      </c>
      <c r="K1189" s="14" t="n">
        <v>127.97</v>
      </c>
      <c r="L1189" s="15" t="n">
        <v>29.62</v>
      </c>
      <c r="M1189" s="14" t="n">
        <v>4315.32</v>
      </c>
      <c r="N1189" s="14" t="n">
        <v>4477.46</v>
      </c>
      <c r="O1189" s="14" t="n">
        <v>4364.7</v>
      </c>
      <c r="P1189" s="4">
        <f>IF(O1189="","",IF(F1189&gt;O1189,"Above","Below"))</f>
        <v/>
      </c>
      <c r="Q1189" s="16" t="n">
        <v>189386</v>
      </c>
      <c r="R1189" s="17" t="n">
        <v>0</v>
      </c>
      <c r="S1189" s="17" t="n">
        <v>0</v>
      </c>
      <c r="T1189" s="17" t="n">
        <v>0</v>
      </c>
      <c r="U1189" s="18" t="n">
        <v>0</v>
      </c>
    </row>
    <row r="1190">
      <c r="A1190" s="13" t="n">
        <v>46198</v>
      </c>
      <c r="B1190" s="4">
        <f>TEXT(A1190,"ddd")</f>
        <v/>
      </c>
      <c r="C1190" s="14" t="n">
        <v>4019</v>
      </c>
      <c r="D1190" s="14" t="n">
        <v>4060</v>
      </c>
      <c r="E1190" s="14" t="n">
        <v>3976.3</v>
      </c>
      <c r="F1190" s="14" t="n">
        <v>4047.6</v>
      </c>
      <c r="G1190" s="9">
        <f>F1190-F1189</f>
        <v/>
      </c>
      <c r="H1190" s="10">
        <f>IF(F1189=0,0,G1190/F1189)</f>
        <v/>
      </c>
      <c r="I1190" s="8">
        <f>D1190-E1190</f>
        <v/>
      </c>
      <c r="J1190" s="4">
        <f>IF(F1190&gt;C1190,"Up",IF(F1190&lt;C1190,"Down","Flat"))</f>
        <v/>
      </c>
      <c r="K1190" s="14" t="n">
        <v>124.81</v>
      </c>
      <c r="L1190" s="15" t="n">
        <v>32.61</v>
      </c>
      <c r="M1190" s="14" t="n">
        <v>4289.83</v>
      </c>
      <c r="N1190" s="14" t="n">
        <v>4460.6</v>
      </c>
      <c r="O1190" s="14" t="n">
        <v>4361.55</v>
      </c>
      <c r="P1190" s="4">
        <f>IF(O1190="","",IF(F1190&gt;O1190,"Above","Below"))</f>
        <v/>
      </c>
      <c r="Q1190" s="16" t="n">
        <v>147347</v>
      </c>
      <c r="R1190" s="17" t="n">
        <v>0</v>
      </c>
      <c r="S1190" s="17" t="n">
        <v>0</v>
      </c>
      <c r="T1190" s="17" t="n">
        <v>0</v>
      </c>
      <c r="U1190" s="18" t="n">
        <v>0</v>
      </c>
    </row>
    <row r="1191">
      <c r="A1191" s="13" t="n">
        <v>46199</v>
      </c>
      <c r="B1191" s="4">
        <f>TEXT(A1191,"ddd")</f>
        <v/>
      </c>
      <c r="C1191" s="14" t="n">
        <v>4044.4</v>
      </c>
      <c r="D1191" s="14" t="n">
        <v>4111.5</v>
      </c>
      <c r="E1191" s="14" t="n">
        <v>3998.1</v>
      </c>
      <c r="F1191" s="14" t="n">
        <v>4096.3</v>
      </c>
      <c r="G1191" s="9">
        <f>F1191-F1190</f>
        <v/>
      </c>
      <c r="H1191" s="10">
        <f>IF(F1190=0,0,G1191/F1190)</f>
        <v/>
      </c>
      <c r="I1191" s="8">
        <f>D1191-E1191</f>
        <v/>
      </c>
      <c r="J1191" s="4">
        <f>IF(F1191&gt;C1191,"Up",IF(F1191&lt;C1191,"Down","Flat"))</f>
        <v/>
      </c>
      <c r="K1191" s="14" t="n">
        <v>124</v>
      </c>
      <c r="L1191" s="15" t="n">
        <v>36.28</v>
      </c>
      <c r="M1191" s="14" t="n">
        <v>4271.4</v>
      </c>
      <c r="N1191" s="14" t="n">
        <v>4446.31</v>
      </c>
      <c r="O1191" s="14" t="n">
        <v>4358.91</v>
      </c>
      <c r="P1191" s="4">
        <f>IF(O1191="","",IF(F1191&gt;O1191,"Above","Below"))</f>
        <v/>
      </c>
      <c r="Q1191" s="16" t="n">
        <v>118966</v>
      </c>
      <c r="R1191" s="17" t="n">
        <v>0</v>
      </c>
      <c r="S1191" s="17" t="n">
        <v>0</v>
      </c>
      <c r="T1191" s="17" t="n">
        <v>0</v>
      </c>
      <c r="U1191" s="18" t="n">
        <v>0</v>
      </c>
    </row>
    <row r="1192">
      <c r="A1192" s="13" t="n">
        <v>46202</v>
      </c>
      <c r="B1192" s="4">
        <f>TEXT(A1192,"ddd")</f>
        <v/>
      </c>
      <c r="C1192" s="14" t="n">
        <v>4101.1</v>
      </c>
      <c r="D1192" s="14" t="n">
        <v>4102.9</v>
      </c>
      <c r="E1192" s="14" t="n">
        <v>4012</v>
      </c>
      <c r="F1192" s="14" t="n">
        <v>4038.9</v>
      </c>
      <c r="G1192" s="9">
        <f>F1192-F1191</f>
        <v/>
      </c>
      <c r="H1192" s="10">
        <f>IF(F1191=0,0,G1192/F1191)</f>
        <v/>
      </c>
      <c r="I1192" s="8">
        <f>D1192-E1192</f>
        <v/>
      </c>
      <c r="J1192" s="4">
        <f>IF(F1192&gt;C1192,"Up",IF(F1192&lt;C1192,"Down","Flat"))</f>
        <v/>
      </c>
      <c r="K1192" s="14" t="n">
        <v>121.63</v>
      </c>
      <c r="L1192" s="15" t="n">
        <v>33.94</v>
      </c>
      <c r="M1192" s="14" t="n">
        <v>4249.25</v>
      </c>
      <c r="N1192" s="14" t="n">
        <v>4430.34</v>
      </c>
      <c r="O1192" s="14" t="n">
        <v>4355.73</v>
      </c>
      <c r="P1192" s="4">
        <f>IF(O1192="","",IF(F1192&gt;O1192,"Above","Below"))</f>
        <v/>
      </c>
      <c r="Q1192" s="16" t="n">
        <v>107421</v>
      </c>
      <c r="R1192" s="17" t="n">
        <v>0</v>
      </c>
      <c r="S1192" s="17" t="n">
        <v>0</v>
      </c>
      <c r="T1192" s="17" t="n">
        <v>0</v>
      </c>
      <c r="U1192" s="18" t="n">
        <v>0</v>
      </c>
    </row>
    <row r="1193">
      <c r="A1193" s="13" t="n">
        <v>46203</v>
      </c>
      <c r="B1193" s="4">
        <f>TEXT(A1193,"ddd")</f>
        <v/>
      </c>
      <c r="C1193" s="14" t="n">
        <v>4032.5</v>
      </c>
      <c r="D1193" s="14" t="n">
        <v>4078.1</v>
      </c>
      <c r="E1193" s="14" t="n">
        <v>3955.4</v>
      </c>
      <c r="F1193" s="14" t="n">
        <v>4038.5</v>
      </c>
      <c r="G1193" s="9">
        <f>F1193-F1192</f>
        <v/>
      </c>
      <c r="H1193" s="10">
        <f>IF(F1192=0,0,G1193/F1192)</f>
        <v/>
      </c>
      <c r="I1193" s="8">
        <f>D1193-E1193</f>
        <v/>
      </c>
      <c r="J1193" s="4">
        <f>IF(F1193&gt;C1193,"Up",IF(F1193&lt;C1193,"Down","Flat"))</f>
        <v/>
      </c>
      <c r="K1193" s="14" t="n">
        <v>121.71</v>
      </c>
      <c r="L1193" s="15" t="n">
        <v>33.92</v>
      </c>
      <c r="M1193" s="14" t="n">
        <v>4229.18</v>
      </c>
      <c r="N1193" s="14" t="n">
        <v>4414.97</v>
      </c>
      <c r="O1193" s="14" t="n">
        <v>4352.57</v>
      </c>
      <c r="P1193" s="4">
        <f>IF(O1193="","",IF(F1193&gt;O1193,"Above","Below"))</f>
        <v/>
      </c>
      <c r="Q1193" s="16" t="n">
        <v>125413</v>
      </c>
      <c r="R1193" s="17" t="n">
        <v>0</v>
      </c>
      <c r="S1193" s="17" t="n">
        <v>0</v>
      </c>
      <c r="T1193" s="17" t="n">
        <v>0</v>
      </c>
      <c r="U1193" s="18" t="n">
        <v>0</v>
      </c>
    </row>
    <row r="1194">
      <c r="A1194" s="13" t="n">
        <v>46204</v>
      </c>
      <c r="B1194" s="4">
        <f>TEXT(A1194,"ddd")</f>
        <v/>
      </c>
      <c r="C1194" s="14" t="n">
        <v>4025</v>
      </c>
      <c r="D1194" s="14" t="n">
        <v>4131</v>
      </c>
      <c r="E1194" s="14" t="n">
        <v>3973</v>
      </c>
      <c r="F1194" s="14" t="n">
        <v>4082.4</v>
      </c>
      <c r="G1194" s="9">
        <f>F1194-F1193</f>
        <v/>
      </c>
      <c r="H1194" s="10">
        <f>IF(F1193=0,0,G1194/F1193)</f>
        <v/>
      </c>
      <c r="I1194" s="8">
        <f>D1194-E1194</f>
        <v/>
      </c>
      <c r="J1194" s="4">
        <f>IF(F1194&gt;C1194,"Up",IF(F1194&lt;C1194,"Down","Flat"))</f>
        <v/>
      </c>
      <c r="K1194" s="14" t="n">
        <v>124.3</v>
      </c>
      <c r="L1194" s="15" t="n">
        <v>37.5</v>
      </c>
      <c r="M1194" s="14" t="n">
        <v>4215.2</v>
      </c>
      <c r="N1194" s="14" t="n">
        <v>4401.93</v>
      </c>
      <c r="O1194" s="14" t="n">
        <v>4349.88</v>
      </c>
      <c r="P1194" s="4">
        <f>IF(O1194="","",IF(F1194&gt;O1194,"Above","Below"))</f>
        <v/>
      </c>
      <c r="Q1194" s="16" t="n">
        <v>146949</v>
      </c>
      <c r="R1194" s="17" t="n">
        <v>0</v>
      </c>
      <c r="S1194" s="17" t="n">
        <v>0</v>
      </c>
      <c r="T1194" s="17" t="n">
        <v>0</v>
      </c>
      <c r="U1194" s="18" t="n">
        <v>0</v>
      </c>
    </row>
    <row r="1195">
      <c r="A1195" s="13" t="n">
        <v>46205</v>
      </c>
      <c r="B1195" s="4">
        <f>TEXT(A1195,"ddd")</f>
        <v/>
      </c>
      <c r="C1195" s="14" t="n">
        <v>4049.2</v>
      </c>
      <c r="D1195" s="14" t="n">
        <v>4157.1</v>
      </c>
      <c r="E1195" s="14" t="n">
        <v>4042.8</v>
      </c>
      <c r="F1195" s="14" t="n">
        <v>4125.7</v>
      </c>
      <c r="G1195" s="9">
        <f>F1195-F1194</f>
        <v/>
      </c>
      <c r="H1195" s="10">
        <f>IF(F1194=0,0,G1195/F1194)</f>
        <v/>
      </c>
      <c r="I1195" s="8">
        <f>D1195-E1195</f>
        <v/>
      </c>
      <c r="J1195" s="4">
        <f>IF(F1195&gt;C1195,"Up",IF(F1195&lt;C1195,"Down","Flat"))</f>
        <v/>
      </c>
      <c r="K1195" s="14" t="n">
        <v>123.59</v>
      </c>
      <c r="L1195" s="15" t="n">
        <v>40.89</v>
      </c>
      <c r="M1195" s="14" t="n">
        <v>4206.68</v>
      </c>
      <c r="N1195" s="14" t="n">
        <v>4391.1</v>
      </c>
      <c r="O1195" s="14" t="n">
        <v>4347.65</v>
      </c>
      <c r="P1195" s="4">
        <f>IF(O1195="","",IF(F1195&gt;O1195,"Above","Below"))</f>
        <v/>
      </c>
      <c r="Q1195" s="16" t="n">
        <v>0</v>
      </c>
      <c r="R1195" s="17" t="n">
        <v>0</v>
      </c>
      <c r="S1195" s="17" t="n">
        <v>0</v>
      </c>
      <c r="T1195" s="17" t="n">
        <v>0</v>
      </c>
      <c r="U1195" s="18" t="n">
        <v>0</v>
      </c>
    </row>
    <row r="1196">
      <c r="A1196" s="13" t="n">
        <v>46209</v>
      </c>
      <c r="B1196" s="4">
        <f>TEXT(A1196,"ddd")</f>
        <v/>
      </c>
      <c r="C1196" s="14" t="n">
        <v>4187.5</v>
      </c>
      <c r="D1196" s="14" t="n">
        <v>4215.5</v>
      </c>
      <c r="E1196" s="14" t="n">
        <v>4140.6</v>
      </c>
      <c r="F1196" s="14" t="n">
        <v>4167.5</v>
      </c>
      <c r="G1196" s="9">
        <f>F1196-F1195</f>
        <v/>
      </c>
      <c r="H1196" s="10">
        <f>IF(F1195=0,0,G1196/F1195)</f>
        <v/>
      </c>
      <c r="I1196" s="8">
        <f>D1196-E1196</f>
        <v/>
      </c>
      <c r="J1196" s="4">
        <f>IF(F1196&gt;C1196,"Up",IF(F1196&lt;C1196,"Down","Flat"))</f>
        <v/>
      </c>
      <c r="K1196" s="14" t="n">
        <v>121.17</v>
      </c>
      <c r="L1196" s="15" t="n">
        <v>44.06</v>
      </c>
      <c r="M1196" s="14" t="n">
        <v>4202.95</v>
      </c>
      <c r="N1196" s="14" t="n">
        <v>4382.33</v>
      </c>
      <c r="O1196" s="14" t="n">
        <v>4345.86</v>
      </c>
      <c r="P1196" s="4">
        <f>IF(O1196="","",IF(F1196&gt;O1196,"Above","Below"))</f>
        <v/>
      </c>
      <c r="Q1196" s="16" t="n">
        <v>147556</v>
      </c>
      <c r="R1196" s="17" t="n">
        <v>0</v>
      </c>
      <c r="S1196" s="17" t="n">
        <v>0</v>
      </c>
      <c r="T1196" s="17" t="n">
        <v>0</v>
      </c>
      <c r="U1196" s="18" t="n">
        <v>0</v>
      </c>
    </row>
    <row r="1197">
      <c r="A1197" s="13" t="n">
        <v>46210</v>
      </c>
      <c r="B1197" s="4">
        <f>TEXT(A1197,"ddd")</f>
        <v/>
      </c>
      <c r="C1197" s="14" t="n">
        <v>4176.4</v>
      </c>
      <c r="D1197" s="14" t="n">
        <v>4192.4</v>
      </c>
      <c r="E1197" s="14" t="n">
        <v>4102.7</v>
      </c>
      <c r="F1197" s="14" t="n">
        <v>4157.4</v>
      </c>
      <c r="G1197" s="9">
        <f>F1197-F1196</f>
        <v/>
      </c>
      <c r="H1197" s="10">
        <f>IF(F1196=0,0,G1197/F1196)</f>
        <v/>
      </c>
      <c r="I1197" s="8">
        <f>D1197-E1197</f>
        <v/>
      </c>
      <c r="J1197" s="4">
        <f>IF(F1197&gt;C1197,"Up",IF(F1197&lt;C1197,"Down","Flat"))</f>
        <v/>
      </c>
      <c r="K1197" s="14" t="n">
        <v>118.93</v>
      </c>
      <c r="L1197" s="15" t="n">
        <v>43.45</v>
      </c>
      <c r="M1197" s="14" t="n">
        <v>4198.61</v>
      </c>
      <c r="N1197" s="14" t="n">
        <v>4373.51</v>
      </c>
      <c r="O1197" s="14" t="n">
        <v>4343.98</v>
      </c>
      <c r="P1197" s="4">
        <f>IF(O1197="","",IF(F1197&gt;O1197,"Above","Below"))</f>
        <v/>
      </c>
      <c r="Q1197" s="16" t="n">
        <v>110330</v>
      </c>
      <c r="R1197" s="17" t="n">
        <v>0</v>
      </c>
      <c r="S1197" s="17" t="n">
        <v>0</v>
      </c>
      <c r="T1197" s="17" t="n">
        <v>0</v>
      </c>
      <c r="U1197" s="18" t="n">
        <v>0</v>
      </c>
    </row>
    <row r="1198">
      <c r="A1198" s="13" t="n">
        <v>46211</v>
      </c>
      <c r="B1198" s="4">
        <f>TEXT(A1198,"ddd")</f>
        <v/>
      </c>
      <c r="C1198" s="14" t="n">
        <v>4106.5</v>
      </c>
      <c r="D1198" s="14" t="n">
        <v>4144.7</v>
      </c>
      <c r="E1198" s="14" t="n">
        <v>4032.5</v>
      </c>
      <c r="F1198" s="14" t="n">
        <v>4082.4</v>
      </c>
      <c r="G1198" s="9">
        <f>F1198-F1197</f>
        <v/>
      </c>
      <c r="H1198" s="10">
        <f>IF(F1197=0,0,G1198/F1197)</f>
        <v/>
      </c>
      <c r="I1198" s="8">
        <f>D1198-E1198</f>
        <v/>
      </c>
      <c r="J1198" s="4">
        <f>IF(F1198&gt;C1198,"Up",IF(F1198&lt;C1198,"Down","Flat"))</f>
        <v/>
      </c>
      <c r="K1198" s="14" t="n">
        <v>119.35</v>
      </c>
      <c r="L1198" s="15" t="n">
        <v>39.15</v>
      </c>
      <c r="M1198" s="14" t="n">
        <v>4187.54</v>
      </c>
      <c r="N1198" s="14" t="n">
        <v>4362.09</v>
      </c>
      <c r="O1198" s="14" t="n">
        <v>4341.38</v>
      </c>
      <c r="P1198" s="4">
        <f>IF(O1198="","",IF(F1198&gt;O1198,"Above","Below"))</f>
        <v/>
      </c>
      <c r="Q1198" s="16" t="n">
        <v>170826</v>
      </c>
      <c r="R1198" s="17" t="n">
        <v>0</v>
      </c>
      <c r="S1198" s="17" t="n">
        <v>0</v>
      </c>
      <c r="T1198" s="17" t="n">
        <v>0</v>
      </c>
      <c r="U1198" s="18" t="n">
        <v>0</v>
      </c>
    </row>
    <row r="1199">
      <c r="A1199" s="13" t="n">
        <v>46212</v>
      </c>
      <c r="B1199" s="4">
        <f>TEXT(A1199,"ddd")</f>
        <v/>
      </c>
      <c r="C1199" s="14" t="n">
        <v>4087.6</v>
      </c>
      <c r="D1199" s="14" t="n">
        <v>4148.4</v>
      </c>
      <c r="E1199" s="14" t="n">
        <v>4063.4</v>
      </c>
      <c r="F1199" s="14" t="n">
        <v>4140.8</v>
      </c>
      <c r="G1199" s="9">
        <f>F1199-F1198</f>
        <v/>
      </c>
      <c r="H1199" s="10">
        <f>IF(F1198=0,0,G1199/F1198)</f>
        <v/>
      </c>
      <c r="I1199" s="8">
        <f>D1199-E1199</f>
        <v/>
      </c>
      <c r="J1199" s="4">
        <f>IF(F1199&gt;C1199,"Up",IF(F1199&lt;C1199,"Down","Flat"))</f>
        <v/>
      </c>
      <c r="K1199" s="14" t="n">
        <v>116.9</v>
      </c>
      <c r="L1199" s="15" t="n">
        <v>43.81</v>
      </c>
      <c r="M1199" s="14" t="n">
        <v>4183.09</v>
      </c>
      <c r="N1199" s="14" t="n">
        <v>4353.41</v>
      </c>
      <c r="O1199" s="14" t="n">
        <v>4339.38</v>
      </c>
      <c r="P1199" s="4">
        <f>IF(O1199="","",IF(F1199&gt;O1199,"Above","Below"))</f>
        <v/>
      </c>
      <c r="Q1199" s="16" t="n">
        <v>125061</v>
      </c>
      <c r="R1199" s="17" t="n">
        <v>0</v>
      </c>
      <c r="S1199" s="17" t="n">
        <v>0</v>
      </c>
      <c r="T1199" s="17" t="n">
        <v>0</v>
      </c>
      <c r="U1199" s="18" t="n">
        <v>0</v>
      </c>
    </row>
    <row r="1200">
      <c r="A1200" s="13" t="n">
        <v>46213</v>
      </c>
      <c r="B1200" s="4">
        <f>TEXT(A1200,"ddd")</f>
        <v/>
      </c>
      <c r="C1200" s="14" t="n">
        <v>4135.4</v>
      </c>
      <c r="D1200" s="14" t="n">
        <v>4144.6</v>
      </c>
      <c r="E1200" s="14" t="n">
        <v>4081.7</v>
      </c>
      <c r="F1200" s="14" t="n">
        <v>4113.7</v>
      </c>
      <c r="G1200" s="9">
        <f>F1200-F1199</f>
        <v/>
      </c>
      <c r="H1200" s="10">
        <f>IF(F1199=0,0,G1200/F1199)</f>
        <v/>
      </c>
      <c r="I1200" s="8">
        <f>D1200-E1200</f>
        <v/>
      </c>
      <c r="J1200" s="4">
        <f>IF(F1200&gt;C1200,"Up",IF(F1200&lt;C1200,"Down","Flat"))</f>
        <v/>
      </c>
      <c r="K1200" s="14" t="n">
        <v>113.04</v>
      </c>
      <c r="L1200" s="15" t="n">
        <v>42.2</v>
      </c>
      <c r="M1200" s="14" t="n">
        <v>4176.48</v>
      </c>
      <c r="N1200" s="14" t="n">
        <v>4344.01</v>
      </c>
      <c r="O1200" s="14" t="n">
        <v>4337.14</v>
      </c>
      <c r="P1200" s="4">
        <f>IF(O1200="","",IF(F1200&gt;O1200,"Above","Below"))</f>
        <v/>
      </c>
      <c r="Q1200" s="16" t="n">
        <v>98745</v>
      </c>
      <c r="R1200" s="17" t="n">
        <v>0</v>
      </c>
      <c r="S1200" s="17" t="n">
        <v>0</v>
      </c>
      <c r="T1200" s="17" t="n">
        <v>0</v>
      </c>
      <c r="U1200" s="18" t="n">
        <v>0</v>
      </c>
    </row>
    <row r="1201">
      <c r="A1201" s="13" t="n">
        <v>46216</v>
      </c>
      <c r="B1201" s="4">
        <f>TEXT(A1201,"ddd")</f>
        <v/>
      </c>
      <c r="C1201" s="14" t="n">
        <v>4106.6</v>
      </c>
      <c r="D1201" s="14" t="n">
        <v>4111.6</v>
      </c>
      <c r="E1201" s="14" t="n">
        <v>3992.9</v>
      </c>
      <c r="F1201" s="14" t="n">
        <v>4005.7</v>
      </c>
      <c r="G1201" s="9">
        <f>F1201-F1200</f>
        <v/>
      </c>
      <c r="H1201" s="10">
        <f>IF(F1200=0,0,G1201/F1200)</f>
        <v/>
      </c>
      <c r="I1201" s="8">
        <f>D1201-E1201</f>
        <v/>
      </c>
      <c r="J1201" s="4">
        <f>IF(F1201&gt;C1201,"Up",IF(F1201&lt;C1201,"Down","Flat"))</f>
        <v/>
      </c>
      <c r="K1201" s="14" t="n">
        <v>113.6</v>
      </c>
      <c r="L1201" s="15" t="n">
        <v>36.43</v>
      </c>
      <c r="M1201" s="14" t="n">
        <v>4160.22</v>
      </c>
      <c r="N1201" s="14" t="n">
        <v>4330.74</v>
      </c>
      <c r="O1201" s="14" t="n">
        <v>4333.84</v>
      </c>
      <c r="P1201" s="4">
        <f>IF(O1201="","",IF(F1201&gt;O1201,"Above","Below"))</f>
        <v/>
      </c>
      <c r="Q1201" s="16" t="n">
        <v>154814</v>
      </c>
      <c r="R1201" s="17" t="n">
        <v>0</v>
      </c>
      <c r="S1201" s="17" t="n">
        <v>0</v>
      </c>
      <c r="T1201" s="17" t="n">
        <v>0</v>
      </c>
      <c r="U1201" s="18" t="n">
        <v>0</v>
      </c>
    </row>
    <row r="1202">
      <c r="A1202" s="13" t="n">
        <v>46217</v>
      </c>
      <c r="B1202" s="4">
        <f>TEXT(A1202,"ddd")</f>
        <v/>
      </c>
      <c r="C1202" s="14" t="n">
        <v>4005.9</v>
      </c>
      <c r="D1202" s="14" t="n">
        <v>4112.5</v>
      </c>
      <c r="E1202" s="14" t="n">
        <v>3990.4</v>
      </c>
      <c r="F1202" s="14" t="n">
        <v>4069.7</v>
      </c>
      <c r="G1202" s="9">
        <f>F1202-F1201</f>
        <v/>
      </c>
      <c r="H1202" s="10">
        <f>IF(F1201=0,0,G1202/F1201)</f>
        <v/>
      </c>
      <c r="I1202" s="8">
        <f>D1202-E1202</f>
        <v/>
      </c>
      <c r="J1202" s="4">
        <f>IF(F1202&gt;C1202,"Up",IF(F1202&lt;C1202,"Down","Flat"))</f>
        <v/>
      </c>
      <c r="K1202" s="14" t="n">
        <v>114.2</v>
      </c>
      <c r="L1202" s="15" t="n">
        <v>41.53</v>
      </c>
      <c r="M1202" s="14" t="n">
        <v>4151.6</v>
      </c>
      <c r="N1202" s="14" t="n">
        <v>4320.51</v>
      </c>
      <c r="O1202" s="14" t="n">
        <v>4331.21</v>
      </c>
      <c r="P1202" s="4">
        <f>IF(O1202="","",IF(F1202&gt;O1202,"Above","Below"))</f>
        <v/>
      </c>
      <c r="Q1202" s="16" t="n">
        <v>151122</v>
      </c>
      <c r="R1202" s="17" t="n">
        <v>0</v>
      </c>
      <c r="S1202" s="17" t="n">
        <v>0</v>
      </c>
      <c r="T1202" s="17" t="n">
        <v>0</v>
      </c>
      <c r="U1202" s="18" t="n">
        <v>0</v>
      </c>
    </row>
    <row r="1203">
      <c r="A1203" s="13" t="n">
        <v>46218</v>
      </c>
      <c r="B1203" s="4">
        <f>TEXT(A1203,"ddd")</f>
        <v/>
      </c>
      <c r="C1203" s="14" t="n">
        <v>4059.8</v>
      </c>
      <c r="D1203" s="14" t="n">
        <v>4089.1</v>
      </c>
      <c r="E1203" s="14" t="n">
        <v>4023.3</v>
      </c>
      <c r="F1203" s="14" t="n">
        <v>4051.8</v>
      </c>
      <c r="G1203" s="9">
        <f>F1203-F1202</f>
        <v/>
      </c>
      <c r="H1203" s="10">
        <f>IF(F1202=0,0,G1203/F1202)</f>
        <v/>
      </c>
      <c r="I1203" s="8">
        <f>D1203-E1203</f>
        <v/>
      </c>
      <c r="J1203" s="4">
        <f>IF(F1203&gt;C1203,"Up",IF(F1203&lt;C1203,"Down","Flat"))</f>
        <v/>
      </c>
      <c r="K1203" s="14" t="n">
        <v>110.75</v>
      </c>
      <c r="L1203" s="15" t="n">
        <v>40.55</v>
      </c>
      <c r="M1203" s="14" t="n">
        <v>4142.09</v>
      </c>
      <c r="N1203" s="14" t="n">
        <v>4309.97</v>
      </c>
      <c r="O1203" s="14" t="n">
        <v>4328.43</v>
      </c>
      <c r="P1203" s="4">
        <f>IF(O1203="","",IF(F1203&gt;O1203,"Above","Below"))</f>
        <v/>
      </c>
      <c r="Q1203" s="16" t="n">
        <v>113034</v>
      </c>
      <c r="R1203" s="17" t="n">
        <v>0</v>
      </c>
      <c r="S1203" s="17" t="n">
        <v>0</v>
      </c>
      <c r="T1203" s="17" t="n">
        <v>0</v>
      </c>
      <c r="U1203" s="18" t="n">
        <v>0</v>
      </c>
    </row>
    <row r="1204">
      <c r="A1204" s="13" t="n">
        <v>46219</v>
      </c>
      <c r="B1204" s="4">
        <f>TEXT(A1204,"ddd")</f>
        <v/>
      </c>
      <c r="C1204" s="14" t="n">
        <v>4068.9</v>
      </c>
      <c r="D1204" s="14" t="n">
        <v>4071.9</v>
      </c>
      <c r="E1204" s="14" t="n">
        <v>3973.4</v>
      </c>
      <c r="F1204" s="14" t="n">
        <v>3992.1</v>
      </c>
      <c r="G1204" s="9">
        <f>F1204-F1203</f>
        <v/>
      </c>
      <c r="H1204" s="10">
        <f>IF(F1203=0,0,G1204/F1203)</f>
        <v/>
      </c>
      <c r="I1204" s="8">
        <f>D1204-E1204</f>
        <v/>
      </c>
      <c r="J1204" s="4">
        <f>IF(F1204&gt;C1204,"Up",IF(F1204&lt;C1204,"Down","Flat"))</f>
        <v/>
      </c>
      <c r="K1204" s="14" t="n">
        <v>109.87</v>
      </c>
      <c r="L1204" s="15" t="n">
        <v>37.38</v>
      </c>
      <c r="M1204" s="14" t="n">
        <v>4127.81</v>
      </c>
      <c r="N1204" s="14" t="n">
        <v>4297.5</v>
      </c>
      <c r="O1204" s="14" t="n">
        <v>4325.08</v>
      </c>
      <c r="P1204" s="4">
        <f>IF(O1204="","",IF(F1204&gt;O1204,"Above","Below"))</f>
        <v/>
      </c>
      <c r="Q1204" s="16" t="n">
        <v>125063</v>
      </c>
      <c r="R1204" s="17" t="n">
        <v>0</v>
      </c>
      <c r="S1204" s="17" t="n">
        <v>0</v>
      </c>
      <c r="T1204" s="17" t="n">
        <v>0</v>
      </c>
      <c r="U1204" s="18" t="n">
        <v>0</v>
      </c>
    </row>
    <row r="1205">
      <c r="A1205" s="13" t="n">
        <v>46220</v>
      </c>
      <c r="B1205" s="4">
        <f>TEXT(A1205,"ddd")</f>
        <v/>
      </c>
      <c r="C1205" s="14" t="n">
        <v>3980.1</v>
      </c>
      <c r="D1205" s="14" t="n">
        <v>4028.9</v>
      </c>
      <c r="E1205" s="14" t="n">
        <v>3963</v>
      </c>
      <c r="F1205" s="14" t="n">
        <v>4018.8</v>
      </c>
      <c r="G1205" s="9">
        <f>F1205-F1204</f>
        <v/>
      </c>
      <c r="H1205" s="10">
        <f>IF(F1204=0,0,G1205/F1204)</f>
        <v/>
      </c>
      <c r="I1205" s="8">
        <f>D1205-E1205</f>
        <v/>
      </c>
      <c r="J1205" s="4">
        <f>IF(F1205&gt;C1205,"Up",IF(F1205&lt;C1205,"Down","Flat"))</f>
        <v/>
      </c>
      <c r="K1205" s="14" t="n">
        <v>106.73</v>
      </c>
      <c r="L1205" s="15" t="n">
        <v>39.65</v>
      </c>
      <c r="M1205" s="14" t="n">
        <v>4117.42</v>
      </c>
      <c r="N1205" s="14" t="n">
        <v>4286.58</v>
      </c>
      <c r="O1205" s="14" t="n">
        <v>4322.04</v>
      </c>
      <c r="P1205" s="4">
        <f>IF(O1205="","",IF(F1205&gt;O1205,"Above","Below"))</f>
        <v/>
      </c>
      <c r="Q1205" s="16" t="n">
        <v>112279</v>
      </c>
      <c r="R1205" s="17" t="n">
        <v>0</v>
      </c>
      <c r="S1205" s="17" t="n">
        <v>0</v>
      </c>
      <c r="T1205" s="17" t="n">
        <v>0</v>
      </c>
      <c r="U1205" s="18" t="n">
        <v>0</v>
      </c>
    </row>
    <row r="1206">
      <c r="A1206" s="13" t="n">
        <v>46223</v>
      </c>
      <c r="B1206" s="4">
        <f>TEXT(A1206,"ddd")</f>
        <v/>
      </c>
      <c r="C1206" s="14" t="n">
        <v>4005.6</v>
      </c>
      <c r="D1206" s="14" t="n">
        <v>4046</v>
      </c>
      <c r="E1206" s="14" t="n">
        <v>3986.5</v>
      </c>
      <c r="F1206" s="14" t="n">
        <v>4015.9</v>
      </c>
      <c r="G1206" s="9">
        <f>F1206-F1205</f>
        <v/>
      </c>
      <c r="H1206" s="10">
        <f>IF(F1205=0,0,G1206/F1205)</f>
        <v/>
      </c>
      <c r="I1206" s="8">
        <f>D1206-E1206</f>
        <v/>
      </c>
      <c r="J1206" s="4">
        <f>IF(F1206&gt;C1206,"Up",IF(F1206&lt;C1206,"Down","Flat"))</f>
        <v/>
      </c>
      <c r="K1206" s="14" t="n">
        <v>103.36</v>
      </c>
      <c r="L1206" s="15" t="n">
        <v>39.49</v>
      </c>
      <c r="M1206" s="14" t="n">
        <v>4107.76</v>
      </c>
      <c r="N1206" s="14" t="n">
        <v>4275.96</v>
      </c>
      <c r="O1206" s="14" t="n">
        <v>4318.99</v>
      </c>
      <c r="P1206" s="4">
        <f>IF(O1206="","",IF(F1206&gt;O1206,"Above","Below"))</f>
        <v/>
      </c>
      <c r="Q1206" s="16" t="n">
        <v>102847</v>
      </c>
      <c r="R1206" s="17" t="n">
        <v>0</v>
      </c>
      <c r="S1206" s="17" t="n">
        <v>0</v>
      </c>
      <c r="T1206" s="17" t="n">
        <v>0</v>
      </c>
      <c r="U1206" s="18" t="n">
        <v>0</v>
      </c>
    </row>
    <row r="1207">
      <c r="A1207" s="13" t="n">
        <v>46224</v>
      </c>
      <c r="B1207" s="4">
        <f>TEXT(A1207,"ddd")</f>
        <v/>
      </c>
      <c r="C1207" s="14" t="n">
        <v>4013.4</v>
      </c>
      <c r="D1207" s="14" t="n">
        <v>4092.5</v>
      </c>
      <c r="E1207" s="14" t="n">
        <v>4003.3</v>
      </c>
      <c r="F1207" s="14" t="n">
        <v>4076.4</v>
      </c>
      <c r="G1207" s="9">
        <f>F1207-F1206</f>
        <v/>
      </c>
      <c r="H1207" s="10">
        <f>IF(F1206=0,0,G1207/F1206)</f>
        <v/>
      </c>
      <c r="I1207" s="8">
        <f>D1207-E1207</f>
        <v/>
      </c>
      <c r="J1207" s="4">
        <f>IF(F1207&gt;C1207,"Up",IF(F1207&lt;C1207,"Down","Flat"))</f>
        <v/>
      </c>
      <c r="K1207" s="14" t="n">
        <v>102.35</v>
      </c>
      <c r="L1207" s="15" t="n">
        <v>44.73</v>
      </c>
      <c r="M1207" s="14" t="n">
        <v>4104.77</v>
      </c>
      <c r="N1207" s="14" t="n">
        <v>4268.13</v>
      </c>
      <c r="O1207" s="14" t="n">
        <v>4316.58</v>
      </c>
      <c r="P1207" s="4">
        <f>IF(O1207="","",IF(F1207&gt;O1207,"Above","Below"))</f>
        <v/>
      </c>
      <c r="Q1207" s="16" t="n">
        <v>119957</v>
      </c>
      <c r="R1207" s="17" t="n">
        <v>0</v>
      </c>
      <c r="S1207" s="17" t="n">
        <v>0</v>
      </c>
      <c r="T1207" s="17" t="n">
        <v>0</v>
      </c>
      <c r="U1207" s="18" t="n">
        <v>0</v>
      </c>
    </row>
    <row r="1208">
      <c r="A1208" s="13" t="n">
        <v>46225</v>
      </c>
      <c r="B1208" s="4">
        <f>TEXT(A1208,"ddd")</f>
        <v/>
      </c>
      <c r="C1208" s="14" t="n">
        <v>4084.7</v>
      </c>
      <c r="D1208" s="14" t="n">
        <v>4171.4</v>
      </c>
      <c r="E1208" s="14" t="n">
        <v>4081</v>
      </c>
      <c r="F1208" s="14" t="n">
        <v>4151.9</v>
      </c>
      <c r="G1208" s="9">
        <f>F1208-F1207</f>
        <v/>
      </c>
      <c r="H1208" s="10">
        <f>IF(F1207=0,0,G1208/F1207)</f>
        <v/>
      </c>
      <c r="I1208" s="8">
        <f>D1208-E1208</f>
        <v/>
      </c>
      <c r="J1208" s="4">
        <f>IF(F1208&gt;C1208,"Up",IF(F1208&lt;C1208,"Down","Flat"))</f>
        <v/>
      </c>
      <c r="K1208" s="14" t="n">
        <v>101.82</v>
      </c>
      <c r="L1208" s="15" t="n">
        <v>50.5</v>
      </c>
      <c r="M1208" s="14" t="n">
        <v>4109.26</v>
      </c>
      <c r="N1208" s="14" t="n">
        <v>4263.58</v>
      </c>
      <c r="O1208" s="14" t="n">
        <v>4314.94</v>
      </c>
      <c r="P1208" s="4">
        <f>IF(O1208="","",IF(F1208&gt;O1208,"Above","Below"))</f>
        <v/>
      </c>
      <c r="Q1208" s="16" t="n">
        <v>132783</v>
      </c>
      <c r="R1208" s="17" t="n">
        <v>0</v>
      </c>
      <c r="S1208" s="17" t="n">
        <v>0</v>
      </c>
      <c r="T1208" s="17" t="n">
        <v>0</v>
      </c>
      <c r="U1208" s="18" t="n">
        <v>0</v>
      </c>
    </row>
    <row r="1209">
      <c r="A1209" s="13" t="n">
        <v>46226</v>
      </c>
      <c r="B1209" s="4">
        <f>TEXT(A1209,"ddd")</f>
        <v/>
      </c>
      <c r="C1209" s="14" t="n">
        <v>4126</v>
      </c>
      <c r="D1209" s="14" t="n">
        <v>4144</v>
      </c>
      <c r="E1209" s="14" t="n">
        <v>4042.5</v>
      </c>
      <c r="F1209" s="14" t="n">
        <v>4050.2</v>
      </c>
      <c r="G1209" s="9">
        <f>F1209-F1208</f>
        <v/>
      </c>
      <c r="H1209" s="10">
        <f>IF(F1208=0,0,G1209/F1208)</f>
        <v/>
      </c>
      <c r="I1209" s="8">
        <f>D1209-E1209</f>
        <v/>
      </c>
      <c r="J1209" s="4">
        <f>IF(F1209&gt;C1209,"Up",IF(F1209&lt;C1209,"Down","Flat"))</f>
        <v/>
      </c>
      <c r="K1209" s="14" t="n">
        <v>102.36</v>
      </c>
      <c r="L1209" s="15" t="n">
        <v>43.86</v>
      </c>
      <c r="M1209" s="14" t="n">
        <v>4103.63</v>
      </c>
      <c r="N1209" s="14" t="n">
        <v>4255.21</v>
      </c>
      <c r="O1209" s="14" t="n">
        <v>4312.3</v>
      </c>
      <c r="P1209" s="4">
        <f>IF(O1209="","",IF(F1209&gt;O1209,"Above","Below"))</f>
        <v/>
      </c>
      <c r="Q1209" s="16" t="n">
        <v>159889</v>
      </c>
      <c r="R1209" s="17" t="n">
        <v>0</v>
      </c>
      <c r="S1209" s="17" t="n">
        <v>0</v>
      </c>
      <c r="T1209" s="17" t="n">
        <v>0</v>
      </c>
      <c r="U1209" s="18" t="n">
        <v>0</v>
      </c>
    </row>
    <row r="1210">
      <c r="A1210" s="13" t="n">
        <v>46227</v>
      </c>
      <c r="B1210" s="4">
        <f>TEXT(A1210,"ddd")</f>
        <v/>
      </c>
      <c r="C1210" s="14" t="n">
        <v>4053.4</v>
      </c>
      <c r="D1210" s="14" t="n">
        <v>4085.2</v>
      </c>
      <c r="E1210" s="14" t="n">
        <v>4024</v>
      </c>
      <c r="F1210" s="14" t="n">
        <v>4070.8</v>
      </c>
      <c r="G1210" s="9">
        <f>F1210-F1209</f>
        <v/>
      </c>
      <c r="H1210" s="10">
        <f>IF(F1209=0,0,G1210/F1209)</f>
        <v/>
      </c>
      <c r="I1210" s="8">
        <f>D1210-E1210</f>
        <v/>
      </c>
      <c r="J1210" s="4">
        <f>IF(F1210&gt;C1210,"Up",IF(F1210&lt;C1210,"Down","Flat"))</f>
        <v/>
      </c>
      <c r="K1210" s="14" t="n">
        <v>99.42</v>
      </c>
      <c r="L1210" s="15" t="n">
        <v>45.42</v>
      </c>
      <c r="M1210" s="14" t="n">
        <v>4100.51</v>
      </c>
      <c r="N1210" s="14" t="n">
        <v>4247.98</v>
      </c>
      <c r="O1210" s="14" t="n">
        <v>4309.9</v>
      </c>
      <c r="P1210" s="4">
        <f>IF(O1210="","",IF(F1210&gt;O1210,"Above","Below"))</f>
        <v/>
      </c>
      <c r="Q1210" s="16" t="n">
        <v>120072</v>
      </c>
      <c r="R1210" s="17" t="n">
        <v>0</v>
      </c>
      <c r="S1210" s="17" t="n">
        <v>0</v>
      </c>
      <c r="T1210" s="17" t="n">
        <v>0</v>
      </c>
      <c r="U1210" s="18" t="n">
        <v>0</v>
      </c>
    </row>
    <row r="1211">
      <c r="A1211" s="13" t="n">
        <v>46230</v>
      </c>
      <c r="B1211" s="4">
        <f>TEXT(A1211,"ddd")</f>
        <v/>
      </c>
      <c r="C1211" s="14" t="n">
        <v>4097.5</v>
      </c>
      <c r="D1211" s="14" t="n">
        <v>4119.3</v>
      </c>
      <c r="E1211" s="14" t="n">
        <v>4067.1</v>
      </c>
      <c r="F1211" s="14" t="n">
        <v>4077</v>
      </c>
      <c r="G1211" s="9">
        <f>F1211-F1210</f>
        <v/>
      </c>
      <c r="H1211" s="10">
        <f>IF(F1210=0,0,G1211/F1210)</f>
        <v/>
      </c>
      <c r="I1211" s="8">
        <f>D1211-E1211</f>
        <v/>
      </c>
      <c r="J1211" s="4">
        <f>IF(F1211&gt;C1211,"Up",IF(F1211&lt;C1211,"Down","Flat"))</f>
        <v/>
      </c>
      <c r="K1211" s="14" t="n">
        <v>96.05</v>
      </c>
      <c r="L1211" s="15" t="n">
        <v>45.91</v>
      </c>
      <c r="M1211" s="14" t="n">
        <v>4098.27</v>
      </c>
      <c r="N1211" s="14" t="n">
        <v>4241.27</v>
      </c>
      <c r="O1211" s="14" t="n">
        <v>4307.58</v>
      </c>
      <c r="P1211" s="4">
        <f>IF(O1211="","",IF(F1211&gt;O1211,"Above","Below"))</f>
        <v/>
      </c>
      <c r="Q1211" s="16" t="n">
        <v>135087</v>
      </c>
      <c r="R1211" s="17" t="n">
        <v>0</v>
      </c>
      <c r="S1211" s="17" t="n">
        <v>0</v>
      </c>
      <c r="T1211" s="17" t="n">
        <v>0</v>
      </c>
      <c r="U1211" s="18" t="n">
        <v>0</v>
      </c>
    </row>
    <row r="1212">
      <c r="A1212" s="13" t="n">
        <v>46231</v>
      </c>
      <c r="B1212" s="4">
        <f>TEXT(A1212,"ddd")</f>
        <v/>
      </c>
      <c r="C1212" s="14" t="n">
        <v>4083</v>
      </c>
      <c r="D1212" s="14" t="n">
        <v>4085.7</v>
      </c>
      <c r="E1212" s="14" t="n">
        <v>4011.1</v>
      </c>
      <c r="F1212" s="14" t="n">
        <v>4038.7</v>
      </c>
      <c r="G1212" s="9">
        <f>F1212-F1211</f>
        <v/>
      </c>
      <c r="H1212" s="10">
        <f>IF(F1211=0,0,G1212/F1211)</f>
        <v/>
      </c>
      <c r="I1212" s="8">
        <f>D1212-E1212</f>
        <v/>
      </c>
      <c r="J1212" s="4">
        <f>IF(F1212&gt;C1212,"Up",IF(F1212&lt;C1212,"Down","Flat"))</f>
        <v/>
      </c>
      <c r="K1212" s="14" t="n">
        <v>94.52</v>
      </c>
      <c r="L1212" s="15" t="n">
        <v>43.33</v>
      </c>
      <c r="M1212" s="14" t="n">
        <v>4092.59</v>
      </c>
      <c r="N1212" s="14" t="n">
        <v>4233.33</v>
      </c>
      <c r="O1212" s="14" t="n">
        <v>4304.91</v>
      </c>
      <c r="P1212" s="4">
        <f>IF(O1212="","",IF(F1212&gt;O1212,"Above","Below"))</f>
        <v/>
      </c>
      <c r="Q1212" s="16" t="n">
        <v>167757</v>
      </c>
      <c r="R1212" s="17" t="n">
        <v>0</v>
      </c>
      <c r="S1212" s="17" t="n">
        <v>0</v>
      </c>
      <c r="T1212" s="17" t="n">
        <v>0</v>
      </c>
      <c r="U1212" s="18" t="n">
        <v>0</v>
      </c>
    </row>
    <row r="1213">
      <c r="A1213" s="13" t="n">
        <v>46232</v>
      </c>
      <c r="B1213" s="4">
        <f>TEXT(A1213,"ddd")</f>
        <v/>
      </c>
      <c r="C1213" s="14" t="n">
        <v>4020.9</v>
      </c>
      <c r="D1213" s="14" t="n">
        <v>4115.2</v>
      </c>
      <c r="E1213" s="14" t="n">
        <v>3993.8</v>
      </c>
      <c r="F1213" s="14" t="n">
        <v>4036.3</v>
      </c>
      <c r="G1213" s="9">
        <f>F1213-F1212</f>
        <v/>
      </c>
      <c r="H1213" s="10">
        <f>IF(F1212=0,0,G1213/F1212)</f>
        <v/>
      </c>
      <c r="I1213" s="8">
        <f>D1213-E1213</f>
        <v/>
      </c>
      <c r="J1213" s="4">
        <f>IF(F1213&gt;C1213,"Up",IF(F1213&lt;C1213,"Down","Flat"))</f>
        <v/>
      </c>
      <c r="K1213" s="14" t="n">
        <v>96.44</v>
      </c>
      <c r="L1213" s="15" t="n">
        <v>43.17</v>
      </c>
      <c r="M1213" s="14" t="n">
        <v>4087.23</v>
      </c>
      <c r="N1213" s="14" t="n">
        <v>4225.6</v>
      </c>
      <c r="O1213" s="14" t="n">
        <v>4302.24</v>
      </c>
      <c r="P1213" s="4">
        <f>IF(O1213="","",IF(F1213&gt;O1213,"Above","Below"))</f>
        <v/>
      </c>
      <c r="Q1213" s="16" t="n">
        <v>89664</v>
      </c>
      <c r="R1213" s="17" t="n">
        <v>0</v>
      </c>
      <c r="S1213" s="17" t="n">
        <v>0</v>
      </c>
      <c r="T1213" s="17" t="n">
        <v>0</v>
      </c>
      <c r="U1213" s="18" t="n">
        <v>0</v>
      </c>
    </row>
    <row r="1214">
      <c r="A1214" s="13" t="n">
        <v>46233</v>
      </c>
      <c r="B1214" s="4">
        <f>TEXT(A1214,"ddd")</f>
        <v/>
      </c>
      <c r="C1214" s="14" t="n">
        <v>4060.7</v>
      </c>
      <c r="D1214" s="14" t="n">
        <v>4118.5</v>
      </c>
      <c r="E1214" s="14" t="n">
        <v>4028.5</v>
      </c>
      <c r="F1214" s="14" t="n">
        <v>4100.1</v>
      </c>
      <c r="G1214" s="9">
        <f>F1214-F1213</f>
        <v/>
      </c>
      <c r="H1214" s="10">
        <f>IF(F1213=0,0,G1214/F1213)</f>
        <v/>
      </c>
      <c r="I1214" s="8">
        <f>D1214-E1214</f>
        <v/>
      </c>
      <c r="J1214" s="4">
        <f>IF(F1214&gt;C1214,"Up",IF(F1214&lt;C1214,"Down","Flat"))</f>
        <v/>
      </c>
      <c r="K1214" s="14" t="n">
        <v>95.98</v>
      </c>
      <c r="L1214" s="15" t="n">
        <v>48.72</v>
      </c>
      <c r="M1214" s="14" t="n">
        <v>4088.46</v>
      </c>
      <c r="N1214" s="14" t="n">
        <v>4220.68</v>
      </c>
      <c r="O1214" s="14" t="n">
        <v>4300.22</v>
      </c>
      <c r="P1214" s="4">
        <f>IF(O1214="","",IF(F1214&gt;O1214,"Above","Below"))</f>
        <v/>
      </c>
      <c r="Q1214" s="16" t="n">
        <v>149370</v>
      </c>
      <c r="R1214" s="17" t="n">
        <v>0</v>
      </c>
      <c r="S1214" s="17" t="n">
        <v>0</v>
      </c>
      <c r="T1214" s="17" t="n">
        <v>0</v>
      </c>
      <c r="U1214" s="18" t="n">
        <v>0</v>
      </c>
    </row>
    <row r="1215">
      <c r="A1215" s="13" t="n">
        <v>46234</v>
      </c>
      <c r="B1215" s="4">
        <f>TEXT(A1215,"ddd")</f>
        <v/>
      </c>
      <c r="C1215" s="14" t="n">
        <v>4163.9</v>
      </c>
      <c r="D1215" s="14" t="n">
        <v>4170.7</v>
      </c>
      <c r="E1215" s="14" t="n">
        <v>4076.4</v>
      </c>
      <c r="F1215" s="14" t="n">
        <v>4107</v>
      </c>
      <c r="G1215" s="9">
        <f>F1215-F1214</f>
        <v/>
      </c>
      <c r="H1215" s="10">
        <f>IF(F1214=0,0,G1215/F1214)</f>
        <v/>
      </c>
      <c r="I1215" s="8">
        <f>D1215-E1215</f>
        <v/>
      </c>
      <c r="J1215" s="4">
        <f>IF(F1215&gt;C1215,"Up",IF(F1215&lt;C1215,"Down","Flat"))</f>
        <v/>
      </c>
      <c r="K1215" s="14" t="n">
        <v>95.86</v>
      </c>
      <c r="L1215" s="15" t="n">
        <v>49.29</v>
      </c>
      <c r="M1215" s="14" t="n">
        <v>4090.22</v>
      </c>
      <c r="N1215" s="14" t="n">
        <v>4216.22</v>
      </c>
      <c r="O1215" s="14" t="n">
        <v>4298.3</v>
      </c>
      <c r="P1215" s="4">
        <f>IF(O1215="","",IF(F1215&gt;O1215,"Above","Below"))</f>
        <v/>
      </c>
      <c r="Q1215" s="16" t="n">
        <v>110633</v>
      </c>
      <c r="R1215" s="17" t="n">
        <v>0</v>
      </c>
      <c r="S1215" s="17" t="n">
        <v>0</v>
      </c>
      <c r="T1215" s="17" t="n">
        <v>0</v>
      </c>
      <c r="U1215" s="18" t="n">
        <v>0</v>
      </c>
    </row>
    <row r="1216">
      <c r="A1216" s="13" t="n">
        <v>46237</v>
      </c>
      <c r="B1216" s="4">
        <f>TEXT(A1216,"ddd")</f>
        <v/>
      </c>
      <c r="C1216" s="14" t="n">
        <v>4135.2</v>
      </c>
      <c r="D1216" s="14" t="n">
        <v>4145.5</v>
      </c>
      <c r="E1216" s="14" t="n">
        <v>4074</v>
      </c>
      <c r="F1216" s="14" t="n">
        <v>4090.5</v>
      </c>
      <c r="G1216" s="9">
        <f>F1216-F1215</f>
        <v/>
      </c>
      <c r="H1216" s="10">
        <f>IF(F1215=0,0,G1216/F1215)</f>
        <v/>
      </c>
      <c r="I1216" s="8">
        <f>D1216-E1216</f>
        <v/>
      </c>
      <c r="J1216" s="4">
        <f>IF(F1216&gt;C1216,"Up",IF(F1216&lt;C1216,"Down","Flat"))</f>
        <v/>
      </c>
      <c r="K1216" s="14" t="n">
        <v>94.12</v>
      </c>
      <c r="L1216" s="15" t="n">
        <v>47.91</v>
      </c>
      <c r="M1216" s="14" t="n">
        <v>4090.25</v>
      </c>
      <c r="N1216" s="14" t="n">
        <v>4211.29</v>
      </c>
      <c r="O1216" s="14" t="n">
        <v>4296.23</v>
      </c>
      <c r="P1216" s="4">
        <f>IF(O1216="","",IF(F1216&gt;O1216,"Above","Below"))</f>
        <v/>
      </c>
      <c r="Q1216" s="16" t="n">
        <v>93289</v>
      </c>
      <c r="R1216" s="17" t="n">
        <v>0</v>
      </c>
      <c r="S1216" s="17" t="n">
        <v>0</v>
      </c>
      <c r="T1216" s="17" t="n">
        <v>0</v>
      </c>
      <c r="U1216" s="18" t="n">
        <v>0</v>
      </c>
    </row>
    <row r="1217">
      <c r="A1217" s="13" t="n">
        <v>46238</v>
      </c>
      <c r="B1217" s="4">
        <f>TEXT(A1217,"ddd")</f>
        <v/>
      </c>
      <c r="C1217" s="14" t="n">
        <v>4109.6</v>
      </c>
      <c r="D1217" s="14" t="n">
        <v>4163.8</v>
      </c>
      <c r="E1217" s="14" t="n">
        <v>4098.2</v>
      </c>
      <c r="F1217" s="14" t="n">
        <v>4152.6</v>
      </c>
      <c r="G1217" s="9">
        <f>F1217-F1216</f>
        <v/>
      </c>
      <c r="H1217" s="10">
        <f>IF(F1216=0,0,G1217/F1216)</f>
        <v/>
      </c>
      <c r="I1217" s="8">
        <f>D1217-E1217</f>
        <v/>
      </c>
      <c r="J1217" s="4">
        <f>IF(F1217&gt;C1217,"Up",IF(F1217&lt;C1217,"Down","Flat"))</f>
        <v/>
      </c>
      <c r="K1217" s="14" t="n">
        <v>92.63</v>
      </c>
      <c r="L1217" s="15" t="n">
        <v>53.24</v>
      </c>
      <c r="M1217" s="14" t="n">
        <v>4096.19</v>
      </c>
      <c r="N1217" s="14" t="n">
        <v>4208.99</v>
      </c>
      <c r="O1217" s="14" t="n">
        <v>4294.8</v>
      </c>
      <c r="P1217" s="4">
        <f>IF(O1217="","",IF(F1217&gt;O1217,"Above","Below"))</f>
        <v/>
      </c>
      <c r="Q1217" s="16" t="n">
        <v>118831</v>
      </c>
      <c r="R1217" s="17" t="n">
        <v>0</v>
      </c>
      <c r="S1217" s="17" t="n">
        <v>0</v>
      </c>
      <c r="T1217" s="17" t="n">
        <v>0</v>
      </c>
      <c r="U1217" s="18" t="n">
        <v>0</v>
      </c>
    </row>
    <row r="1218">
      <c r="A1218" s="13" t="n">
        <v>46239</v>
      </c>
      <c r="B1218" s="4">
        <f>TEXT(A1218,"ddd")</f>
        <v/>
      </c>
      <c r="C1218" s="14" t="n">
        <v>4133.8</v>
      </c>
      <c r="D1218" s="14" t="n">
        <v>4328.2</v>
      </c>
      <c r="E1218" s="14" t="n">
        <v>4121.6</v>
      </c>
      <c r="F1218" s="14" t="n">
        <v>4305.2</v>
      </c>
      <c r="G1218" s="9">
        <f>F1218-F1217</f>
        <v/>
      </c>
      <c r="H1218" s="10">
        <f>IF(F1217=0,0,G1218/F1217)</f>
        <v/>
      </c>
      <c r="I1218" s="8">
        <f>D1218-E1218</f>
        <v/>
      </c>
      <c r="J1218" s="4">
        <f>IF(F1218&gt;C1218,"Up",IF(F1218&lt;C1218,"Down","Flat"))</f>
        <v/>
      </c>
      <c r="K1218" s="14" t="n">
        <v>100.77</v>
      </c>
      <c r="L1218" s="15" t="n">
        <v>63.21</v>
      </c>
      <c r="M1218" s="14" t="n">
        <v>4116.09</v>
      </c>
      <c r="N1218" s="14" t="n">
        <v>4212.76</v>
      </c>
      <c r="O1218" s="14" t="n">
        <v>4294.91</v>
      </c>
      <c r="P1218" s="4">
        <f>IF(O1218="","",IF(F1218&gt;O1218,"Above","Below"))</f>
        <v/>
      </c>
      <c r="Q1218" s="16" t="n">
        <v>211902</v>
      </c>
      <c r="R1218" s="17" t="n">
        <v>0</v>
      </c>
      <c r="S1218" s="17" t="n">
        <v>0</v>
      </c>
      <c r="T1218" s="17" t="n">
        <v>0</v>
      </c>
      <c r="U1218" s="18" t="n">
        <v>0</v>
      </c>
    </row>
    <row r="1219">
      <c r="A1219" s="13" t="n">
        <v>46240</v>
      </c>
      <c r="B1219" s="4">
        <f>TEXT(A1219,"ddd")</f>
        <v/>
      </c>
      <c r="C1219" s="14" t="n">
        <v>4307</v>
      </c>
      <c r="D1219" s="14" t="n">
        <v>4363.7</v>
      </c>
      <c r="E1219" s="14" t="n">
        <v>4281.2</v>
      </c>
      <c r="F1219" s="14" t="n">
        <v>4299.6</v>
      </c>
      <c r="G1219" s="9">
        <f>F1219-F1218</f>
        <v/>
      </c>
      <c r="H1219" s="10">
        <f>IF(F1218=0,0,G1219/F1218)</f>
        <v/>
      </c>
      <c r="I1219" s="8">
        <f>D1219-E1219</f>
        <v/>
      </c>
      <c r="J1219" s="4">
        <f>IF(F1219&gt;C1219,"Up",IF(F1219&lt;C1219,"Down","Flat"))</f>
        <v/>
      </c>
      <c r="K1219" s="14" t="n">
        <v>99.47</v>
      </c>
      <c r="L1219" s="15" t="n">
        <v>62.68</v>
      </c>
      <c r="M1219" s="14" t="n">
        <v>4133.57</v>
      </c>
      <c r="N1219" s="14" t="n">
        <v>4216.17</v>
      </c>
      <c r="O1219" s="14" t="n">
        <v>4294.96</v>
      </c>
      <c r="P1219" s="4">
        <f>IF(O1219="","",IF(F1219&gt;O1219,"Above","Below"))</f>
        <v/>
      </c>
      <c r="Q1219" s="16" t="n">
        <v>167624</v>
      </c>
      <c r="R1219" s="17" t="n">
        <v>0</v>
      </c>
      <c r="S1219" s="17" t="n">
        <v>0</v>
      </c>
      <c r="T1219" s="17" t="n">
        <v>0</v>
      </c>
      <c r="U1219" s="18" t="n">
        <v>0</v>
      </c>
    </row>
    <row r="1220">
      <c r="A1220" s="13" t="n">
        <v>46241</v>
      </c>
      <c r="B1220" s="4">
        <f>TEXT(A1220,"ddd")</f>
        <v/>
      </c>
      <c r="C1220" s="14" t="n">
        <v>4298.3</v>
      </c>
      <c r="D1220" s="14" t="n">
        <v>4432.3</v>
      </c>
      <c r="E1220" s="14" t="n">
        <v>4288</v>
      </c>
      <c r="F1220" s="14" t="n">
        <v>4399.7</v>
      </c>
      <c r="G1220" s="9">
        <f>F1220-F1219</f>
        <v/>
      </c>
      <c r="H1220" s="10">
        <f>IF(F1219=0,0,G1220/F1219)</f>
        <v/>
      </c>
      <c r="I1220" s="8">
        <f>D1220-E1220</f>
        <v/>
      </c>
      <c r="J1220" s="4">
        <f>IF(F1220&gt;C1220,"Up",IF(F1220&lt;C1220,"Down","Flat"))</f>
        <v/>
      </c>
      <c r="K1220" s="14" t="n">
        <v>102.67</v>
      </c>
      <c r="L1220" s="15" t="n">
        <v>67.84999999999999</v>
      </c>
      <c r="M1220" s="14" t="n">
        <v>4158.92</v>
      </c>
      <c r="N1220" s="14" t="n">
        <v>4223.37</v>
      </c>
      <c r="O1220" s="14" t="n">
        <v>4296</v>
      </c>
      <c r="P1220" s="4">
        <f>IF(O1220="","",IF(F1220&gt;O1220,"Above","Below"))</f>
        <v/>
      </c>
      <c r="Q1220" s="16" t="n">
        <v>190635</v>
      </c>
      <c r="R1220" s="17" t="n">
        <v>0</v>
      </c>
      <c r="S1220" s="17" t="n">
        <v>0</v>
      </c>
      <c r="T1220" s="17" t="n">
        <v>0</v>
      </c>
      <c r="U1220" s="18" t="n">
        <v>0</v>
      </c>
    </row>
    <row r="1221">
      <c r="A1221" s="13" t="n">
        <v>46244</v>
      </c>
      <c r="B1221" s="4">
        <f>TEXT(A1221,"ddd")</f>
        <v/>
      </c>
      <c r="C1221" s="14" t="n">
        <v>4400</v>
      </c>
      <c r="D1221" s="14" t="n">
        <v>4453.8</v>
      </c>
      <c r="E1221" s="14" t="n">
        <v>4373.9</v>
      </c>
      <c r="F1221" s="14" t="n">
        <v>4419.7</v>
      </c>
      <c r="G1221" s="9">
        <f>F1221-F1220</f>
        <v/>
      </c>
      <c r="H1221" s="10">
        <f>IF(F1220=0,0,G1221/F1220)</f>
        <v/>
      </c>
      <c r="I1221" s="8">
        <f>D1221-E1221</f>
        <v/>
      </c>
      <c r="J1221" s="4">
        <f>IF(F1221&gt;C1221,"Up",IF(F1221&lt;C1221,"Down","Flat"))</f>
        <v/>
      </c>
      <c r="K1221" s="14" t="n">
        <v>101.04</v>
      </c>
      <c r="L1221" s="15" t="n">
        <v>68.78</v>
      </c>
      <c r="M1221" s="14" t="n">
        <v>4183.75</v>
      </c>
      <c r="N1221" s="14" t="n">
        <v>4231.06</v>
      </c>
      <c r="O1221" s="14" t="n">
        <v>4297.23</v>
      </c>
      <c r="P1221" s="4">
        <f>IF(O1221="","",IF(F1221&gt;O1221,"Above","Below"))</f>
        <v/>
      </c>
      <c r="Q1221" s="16" t="n">
        <v>118606</v>
      </c>
      <c r="R1221" s="17" t="n">
        <v>0</v>
      </c>
      <c r="S1221" s="17" t="n">
        <v>0</v>
      </c>
      <c r="T1221" s="17" t="n">
        <v>0</v>
      </c>
      <c r="U1221" s="18" t="n">
        <v>0</v>
      </c>
    </row>
    <row r="1222">
      <c r="A1222" s="13" t="n">
        <v>46245</v>
      </c>
      <c r="B1222" s="4">
        <f>TEXT(A1222,"ddd")</f>
        <v/>
      </c>
      <c r="C1222" s="14" t="n">
        <v>4446.9</v>
      </c>
      <c r="D1222" s="14" t="n">
        <v>4495</v>
      </c>
      <c r="E1222" s="14" t="n">
        <v>4415.7</v>
      </c>
      <c r="F1222" s="14" t="n">
        <v>4441.1</v>
      </c>
      <c r="G1222" s="9">
        <f>F1222-F1221</f>
        <v/>
      </c>
      <c r="H1222" s="10">
        <f>IF(F1221=0,0,G1222/F1221)</f>
        <v/>
      </c>
      <c r="I1222" s="8">
        <f>D1222-E1222</f>
        <v/>
      </c>
      <c r="J1222" s="4">
        <f>IF(F1222&gt;C1222,"Up",IF(F1222&lt;C1222,"Down","Flat"))</f>
        <v/>
      </c>
      <c r="K1222" s="14" t="n">
        <v>99.48999999999999</v>
      </c>
      <c r="L1222" s="15" t="n">
        <v>69.79000000000001</v>
      </c>
      <c r="M1222" s="14" t="n">
        <v>4208.26</v>
      </c>
      <c r="N1222" s="14" t="n">
        <v>4239.3</v>
      </c>
      <c r="O1222" s="14" t="n">
        <v>4298.66</v>
      </c>
      <c r="P1222" s="4">
        <f>IF(O1222="","",IF(F1222&gt;O1222,"Above","Below"))</f>
        <v/>
      </c>
      <c r="Q1222" s="16" t="n">
        <v>138129</v>
      </c>
      <c r="R1222" s="17" t="n">
        <v>0</v>
      </c>
      <c r="S1222" s="17" t="n">
        <v>0</v>
      </c>
      <c r="T1222" s="17" t="n">
        <v>0</v>
      </c>
      <c r="U1222" s="18" t="n">
        <v>0</v>
      </c>
    </row>
    <row r="1223">
      <c r="A1223" s="13" t="n">
        <v>46246</v>
      </c>
      <c r="B1223" s="4">
        <f>TEXT(A1223,"ddd")</f>
        <v/>
      </c>
      <c r="C1223" s="14" t="n">
        <v>4430</v>
      </c>
      <c r="D1223" s="14" t="n">
        <v>4502.7</v>
      </c>
      <c r="E1223" s="14" t="n">
        <v>4421.4</v>
      </c>
      <c r="F1223" s="14" t="n">
        <v>4467.5</v>
      </c>
      <c r="G1223" s="9">
        <f>F1223-F1222</f>
        <v/>
      </c>
      <c r="H1223" s="10">
        <f>IF(F1222=0,0,G1223/F1222)</f>
        <v/>
      </c>
      <c r="I1223" s="8">
        <f>D1223-E1223</f>
        <v/>
      </c>
      <c r="J1223" s="4">
        <f>IF(F1223&gt;C1223,"Up",IF(F1223&lt;C1223,"Down","Flat"))</f>
        <v/>
      </c>
      <c r="K1223" s="14" t="n">
        <v>98.19</v>
      </c>
      <c r="L1223" s="15" t="n">
        <v>71.03</v>
      </c>
      <c r="M1223" s="14" t="n">
        <v>4232.95</v>
      </c>
      <c r="N1223" s="14" t="n">
        <v>4248.25</v>
      </c>
      <c r="O1223" s="14" t="n">
        <v>4300.34</v>
      </c>
      <c r="P1223" s="4">
        <f>IF(O1223="","",IF(F1223&gt;O1223,"Above","Below"))</f>
        <v/>
      </c>
      <c r="Q1223" s="16" t="n">
        <v>153093</v>
      </c>
      <c r="R1223" s="17" t="n">
        <v>0</v>
      </c>
      <c r="S1223" s="17" t="n">
        <v>0</v>
      </c>
      <c r="T1223" s="17" t="n">
        <v>0</v>
      </c>
      <c r="U1223" s="18" t="n">
        <v>0</v>
      </c>
    </row>
    <row r="1224">
      <c r="A1224" s="13" t="n">
        <v>46247</v>
      </c>
      <c r="B1224" s="4">
        <f>TEXT(A1224,"ddd")</f>
        <v/>
      </c>
      <c r="C1224" s="14" t="n">
        <v>4468.8</v>
      </c>
      <c r="D1224" s="14" t="n">
        <v>4509.1</v>
      </c>
      <c r="E1224" s="14" t="n">
        <v>4400</v>
      </c>
      <c r="F1224" s="14" t="n">
        <v>4420.4</v>
      </c>
      <c r="G1224" s="9">
        <f>F1224-F1223</f>
        <v/>
      </c>
      <c r="H1224" s="10">
        <f>IF(F1223=0,0,G1224/F1223)</f>
        <v/>
      </c>
      <c r="I1224" s="8">
        <f>D1224-E1224</f>
        <v/>
      </c>
      <c r="J1224" s="4">
        <f>IF(F1224&gt;C1224,"Up",IF(F1224&lt;C1224,"Down","Flat"))</f>
        <v/>
      </c>
      <c r="K1224" s="14" t="n">
        <v>98.97</v>
      </c>
      <c r="L1224" s="15" t="n">
        <v>65.83</v>
      </c>
      <c r="M1224" s="14" t="n">
        <v>4250.8</v>
      </c>
      <c r="N1224" s="14" t="n">
        <v>4255</v>
      </c>
      <c r="O1224" s="14" t="n">
        <v>4301.53</v>
      </c>
      <c r="P1224" s="4">
        <f>IF(O1224="","",IF(F1224&gt;O1224,"Above","Below"))</f>
        <v/>
      </c>
      <c r="Q1224" s="16" t="n">
        <v>139219</v>
      </c>
      <c r="R1224" s="17" t="n">
        <v>0</v>
      </c>
      <c r="S1224" s="17" t="n">
        <v>0</v>
      </c>
      <c r="T1224" s="17" t="n">
        <v>0</v>
      </c>
      <c r="U1224" s="18" t="n">
        <v>0</v>
      </c>
    </row>
    <row r="1225">
      <c r="A1225" s="13" t="n">
        <v>46248</v>
      </c>
      <c r="B1225" s="4">
        <f>TEXT(A1225,"ddd")</f>
        <v/>
      </c>
      <c r="C1225" s="14" t="n">
        <v>4408.2</v>
      </c>
      <c r="D1225" s="14" t="n">
        <v>4454.6</v>
      </c>
      <c r="E1225" s="14" t="n">
        <v>4365.5</v>
      </c>
      <c r="F1225" s="14" t="n">
        <v>4437.3</v>
      </c>
      <c r="G1225" s="9">
        <f>F1225-F1224</f>
        <v/>
      </c>
      <c r="H1225" s="10">
        <f>IF(F1224=0,0,G1225/F1224)</f>
        <v/>
      </c>
      <c r="I1225" s="8">
        <f>D1225-E1225</f>
        <v/>
      </c>
      <c r="J1225" s="4">
        <f>IF(F1225&gt;C1225,"Up",IF(F1225&lt;C1225,"Down","Flat"))</f>
        <v/>
      </c>
      <c r="K1225" s="14" t="n">
        <v>98.26000000000001</v>
      </c>
      <c r="L1225" s="15" t="n">
        <v>66.77</v>
      </c>
      <c r="M1225" s="14" t="n">
        <v>4268.57</v>
      </c>
      <c r="N1225" s="14" t="n">
        <v>4262.15</v>
      </c>
      <c r="O1225" s="14" t="n">
        <v>4302.89</v>
      </c>
      <c r="P1225" s="4">
        <f>IF(O1225="","",IF(F1225&gt;O1225,"Above","Below"))</f>
        <v/>
      </c>
      <c r="Q1225" s="16" t="n">
        <v>126955</v>
      </c>
      <c r="R1225" s="17" t="n">
        <v>0</v>
      </c>
      <c r="S1225" s="17" t="n">
        <v>0</v>
      </c>
      <c r="T1225" s="17" t="n">
        <v>0</v>
      </c>
      <c r="U1225" s="18" t="n">
        <v>0</v>
      </c>
    </row>
    <row r="1226">
      <c r="A1226" s="13" t="n">
        <v>46251</v>
      </c>
      <c r="B1226" s="4">
        <f>TEXT(A1226,"ddd")</f>
        <v/>
      </c>
      <c r="C1226" s="14" t="n">
        <v>4440</v>
      </c>
      <c r="D1226" s="14" t="n">
        <v>4486.5</v>
      </c>
      <c r="E1226" s="14" t="n">
        <v>4422.3</v>
      </c>
      <c r="F1226" s="14" t="n">
        <v>4473.7</v>
      </c>
      <c r="G1226" s="9">
        <f>F1226-F1225</f>
        <v/>
      </c>
      <c r="H1226" s="10">
        <f>IF(F1225=0,0,G1226/F1225)</f>
        <v/>
      </c>
      <c r="I1226" s="8">
        <f>D1226-E1226</f>
        <v/>
      </c>
      <c r="J1226" s="4">
        <f>IF(F1226&gt;C1226,"Up",IF(F1226&lt;C1226,"Down","Flat"))</f>
        <v/>
      </c>
      <c r="K1226" s="14" t="n">
        <v>95.83</v>
      </c>
      <c r="L1226" s="15" t="n">
        <v>68.76000000000001</v>
      </c>
      <c r="M1226" s="14" t="n">
        <v>4288.1</v>
      </c>
      <c r="N1226" s="14" t="n">
        <v>4270.45</v>
      </c>
      <c r="O1226" s="14" t="n">
        <v>4304.58</v>
      </c>
      <c r="P1226" s="4">
        <f>IF(O1226="","",IF(F1226&gt;O1226,"Above","Below"))</f>
        <v/>
      </c>
      <c r="Q1226" s="16" t="n">
        <v>121052</v>
      </c>
      <c r="R1226" s="17" t="n">
        <v>0</v>
      </c>
      <c r="S1226" s="17" t="n">
        <v>0</v>
      </c>
      <c r="T1226" s="17" t="n">
        <v>0</v>
      </c>
      <c r="U1226" s="18" t="n">
        <v>0</v>
      </c>
    </row>
    <row r="1227">
      <c r="A1227" s="13" t="n">
        <v>46252</v>
      </c>
      <c r="B1227" s="4">
        <f>TEXT(A1227,"ddd")</f>
        <v/>
      </c>
      <c r="C1227" s="14" t="n">
        <v>4473.4</v>
      </c>
      <c r="D1227" s="14" t="n">
        <v>4493.1</v>
      </c>
      <c r="E1227" s="14" t="n">
        <v>4383.3</v>
      </c>
      <c r="F1227" s="14" t="n">
        <v>4420.6</v>
      </c>
      <c r="G1227" s="9">
        <f>F1227-F1226</f>
        <v/>
      </c>
      <c r="H1227" s="10">
        <f>IF(F1226=0,0,G1227/F1226)</f>
        <v/>
      </c>
      <c r="I1227" s="8">
        <f>D1227-E1227</f>
        <v/>
      </c>
      <c r="J1227" s="4">
        <f>IF(F1227&gt;C1227,"Up",IF(F1227&lt;C1227,"Down","Flat"))</f>
        <v/>
      </c>
      <c r="K1227" s="14" t="n">
        <v>96.83</v>
      </c>
      <c r="L1227" s="15" t="n">
        <v>62.84</v>
      </c>
      <c r="M1227" s="14" t="n">
        <v>4300.72</v>
      </c>
      <c r="N1227" s="14" t="n">
        <v>4276.33</v>
      </c>
      <c r="O1227" s="14" t="n">
        <v>4305.74</v>
      </c>
      <c r="P1227" s="4">
        <f>IF(O1227="","",IF(F1227&gt;O1227,"Above","Below"))</f>
        <v/>
      </c>
      <c r="Q1227" s="16" t="n">
        <v>131150</v>
      </c>
      <c r="R1227" s="17" t="n">
        <v>0</v>
      </c>
      <c r="S1227" s="17" t="n">
        <v>0</v>
      </c>
      <c r="T1227" s="17" t="n">
        <v>0</v>
      </c>
      <c r="U1227" s="18" t="n">
        <v>0</v>
      </c>
    </row>
    <row r="1228">
      <c r="A1228" s="13" t="n">
        <v>46253</v>
      </c>
      <c r="B1228" s="4">
        <f>TEXT(A1228,"ddd")</f>
        <v/>
      </c>
      <c r="C1228" s="14" t="n">
        <v>4391.4</v>
      </c>
      <c r="D1228" s="14" t="n">
        <v>4582.8</v>
      </c>
      <c r="E1228" s="14" t="n">
        <v>4378</v>
      </c>
      <c r="F1228" s="14" t="n">
        <v>4545.3</v>
      </c>
      <c r="G1228" s="9">
        <f>F1228-F1227</f>
        <v/>
      </c>
      <c r="H1228" s="10">
        <f>IF(F1227=0,0,G1228/F1227)</f>
        <v/>
      </c>
      <c r="I1228" s="8">
        <f>D1228-E1228</f>
        <v/>
      </c>
      <c r="J1228" s="4">
        <f>IF(F1228&gt;C1228,"Up",IF(F1228&lt;C1228,"Down","Flat"))</f>
        <v/>
      </c>
      <c r="K1228" s="14" t="n">
        <v>104.54</v>
      </c>
      <c r="L1228" s="15" t="n">
        <v>69.48999999999999</v>
      </c>
      <c r="M1228" s="14" t="n">
        <v>4324.01</v>
      </c>
      <c r="N1228" s="14" t="n">
        <v>4286.88</v>
      </c>
      <c r="O1228" s="14" t="n">
        <v>4308.12</v>
      </c>
      <c r="P1228" s="4">
        <f>IF(O1228="","",IF(F1228&gt;O1228,"Above","Below"))</f>
        <v/>
      </c>
      <c r="Q1228" s="16" t="n">
        <v>250482</v>
      </c>
      <c r="R1228" s="17" t="n">
        <v>0</v>
      </c>
      <c r="S1228" s="17" t="n">
        <v>0</v>
      </c>
      <c r="T1228" s="17" t="n">
        <v>0</v>
      </c>
      <c r="U1228" s="18" t="n">
        <v>0</v>
      </c>
    </row>
    <row r="1229">
      <c r="A1229" s="13" t="n">
        <v>46254</v>
      </c>
      <c r="B1229" s="4">
        <f>TEXT(A1229,"ddd")</f>
        <v/>
      </c>
      <c r="C1229" s="14" t="n">
        <v>4580</v>
      </c>
      <c r="D1229" s="14" t="n">
        <v>4597.1</v>
      </c>
      <c r="E1229" s="14" t="n">
        <v>4506</v>
      </c>
      <c r="F1229" s="14" t="n">
        <v>4571.4</v>
      </c>
      <c r="G1229" s="9">
        <f>F1229-F1228</f>
        <v/>
      </c>
      <c r="H1229" s="10">
        <f>IF(F1228=0,0,G1229/F1228)</f>
        <v/>
      </c>
      <c r="I1229" s="8">
        <f>D1229-E1229</f>
        <v/>
      </c>
      <c r="J1229" s="4">
        <f>IF(F1229&gt;C1229,"Up",IF(F1229&lt;C1229,"Down","Flat"))</f>
        <v/>
      </c>
      <c r="K1229" s="14" t="n">
        <v>103.58</v>
      </c>
      <c r="L1229" s="15" t="n">
        <v>70.67</v>
      </c>
      <c r="M1229" s="14" t="n">
        <v>4347.57</v>
      </c>
      <c r="N1229" s="14" t="n">
        <v>4298.04</v>
      </c>
      <c r="O1229" s="14" t="n">
        <v>4310.74</v>
      </c>
      <c r="P1229" s="4">
        <f>IF(O1229="","",IF(F1229&gt;O1229,"Above","Below"))</f>
        <v/>
      </c>
      <c r="Q1229" s="16" t="n">
        <v>186475</v>
      </c>
      <c r="R1229" s="17" t="n">
        <v>0</v>
      </c>
      <c r="S1229" s="17" t="n">
        <v>0</v>
      </c>
      <c r="T1229" s="17" t="n">
        <v>0</v>
      </c>
      <c r="U1229" s="18" t="n">
        <v>0</v>
      </c>
    </row>
    <row r="1230">
      <c r="A1230" s="13" t="n">
        <v>46255</v>
      </c>
      <c r="B1230" s="4">
        <f>TEXT(A1230,"ddd")</f>
        <v/>
      </c>
      <c r="C1230" s="14" t="n">
        <v>4577</v>
      </c>
      <c r="D1230" s="14" t="n">
        <v>4690.4</v>
      </c>
      <c r="E1230" s="14" t="n">
        <v>4565.5</v>
      </c>
      <c r="F1230" s="14" t="n">
        <v>4680.6</v>
      </c>
      <c r="G1230" s="9">
        <f>F1230-F1229</f>
        <v/>
      </c>
      <c r="H1230" s="10">
        <f>IF(F1229=0,0,G1230/F1229)</f>
        <v/>
      </c>
      <c r="I1230" s="8">
        <f>D1230-E1230</f>
        <v/>
      </c>
      <c r="J1230" s="4">
        <f>IF(F1230&gt;C1230,"Up",IF(F1230&lt;C1230,"Down","Flat"))</f>
        <v/>
      </c>
      <c r="K1230" s="14" t="n">
        <v>105.1</v>
      </c>
      <c r="L1230" s="15" t="n">
        <v>75.03</v>
      </c>
      <c r="M1230" s="14" t="n">
        <v>4379.29</v>
      </c>
      <c r="N1230" s="14" t="n">
        <v>4313.04</v>
      </c>
      <c r="O1230" s="14" t="n">
        <v>4314.42</v>
      </c>
      <c r="P1230" s="4">
        <f>IF(O1230="","",IF(F1230&gt;O1230,"Above","Below"))</f>
        <v/>
      </c>
      <c r="Q1230" s="16" t="n">
        <v>195566</v>
      </c>
      <c r="R1230" s="17" t="n">
        <v>0</v>
      </c>
      <c r="S1230" s="17" t="n">
        <v>0</v>
      </c>
      <c r="T1230" s="17" t="n">
        <v>0</v>
      </c>
      <c r="U1230" s="18" t="n">
        <v>0</v>
      </c>
    </row>
    <row r="1231">
      <c r="A1231" s="13" t="n">
        <v>46258</v>
      </c>
      <c r="B1231" s="4">
        <f>TEXT(A1231,"ddd")</f>
        <v/>
      </c>
      <c r="C1231" s="14" t="n">
        <v>4673.4</v>
      </c>
      <c r="D1231" s="14" t="n">
        <v>4738.5</v>
      </c>
      <c r="E1231" s="14" t="n">
        <v>4651.8</v>
      </c>
      <c r="F1231" s="14" t="n">
        <v>4697.8</v>
      </c>
      <c r="G1231" s="9">
        <f>F1231-F1230</f>
        <v/>
      </c>
      <c r="H1231" s="10">
        <f>IF(F1230=0,0,G1231/F1230)</f>
        <v/>
      </c>
      <c r="I1231" s="8">
        <f>D1231-E1231</f>
        <v/>
      </c>
      <c r="J1231" s="4">
        <f>IF(F1231&gt;C1231,"Up",IF(F1231&lt;C1231,"Down","Flat"))</f>
        <v/>
      </c>
      <c r="K1231" s="14" t="n">
        <v>103.79</v>
      </c>
      <c r="L1231" s="15" t="n">
        <v>75.64</v>
      </c>
      <c r="M1231" s="14" t="n">
        <v>4409.63</v>
      </c>
      <c r="N1231" s="14" t="n">
        <v>4328.13</v>
      </c>
      <c r="O1231" s="14" t="n">
        <v>4318.24</v>
      </c>
      <c r="P1231" s="4">
        <f>IF(O1231="","",IF(F1231&gt;O1231,"Above","Below"))</f>
        <v/>
      </c>
      <c r="Q1231" s="16" t="n">
        <v>206802</v>
      </c>
      <c r="R1231" s="17" t="n">
        <v>0</v>
      </c>
      <c r="S1231" s="17" t="n">
        <v>0</v>
      </c>
      <c r="T1231" s="17" t="n">
        <v>0</v>
      </c>
      <c r="U1231" s="18" t="n">
        <v>0</v>
      </c>
    </row>
    <row r="1232">
      <c r="A1232" s="13" t="n">
        <v>46259</v>
      </c>
      <c r="B1232" s="4">
        <f>TEXT(A1232,"ddd")</f>
        <v/>
      </c>
      <c r="C1232" s="14" t="n">
        <v>4710.1</v>
      </c>
      <c r="D1232" s="14" t="n">
        <v>4755</v>
      </c>
      <c r="E1232" s="14" t="n">
        <v>4659.5</v>
      </c>
      <c r="F1232" s="14" t="n">
        <v>4694.5</v>
      </c>
      <c r="G1232" s="9">
        <f>F1232-F1231</f>
        <v/>
      </c>
      <c r="H1232" s="10">
        <f>IF(F1231=0,0,G1232/F1231)</f>
        <v/>
      </c>
      <c r="I1232" s="8">
        <f>D1232-E1232</f>
        <v/>
      </c>
      <c r="J1232" s="4">
        <f>IF(F1232&gt;C1232,"Up",IF(F1232&lt;C1232,"Down","Flat"))</f>
        <v/>
      </c>
      <c r="K1232" s="14" t="n">
        <v>103.2</v>
      </c>
      <c r="L1232" s="15" t="n">
        <v>75.26000000000001</v>
      </c>
      <c r="M1232" s="14" t="n">
        <v>4436.76</v>
      </c>
      <c r="N1232" s="14" t="n">
        <v>4342.5</v>
      </c>
      <c r="O1232" s="14" t="n">
        <v>4321.98</v>
      </c>
      <c r="P1232" s="4">
        <f>IF(O1232="","",IF(F1232&gt;O1232,"Above","Below"))</f>
        <v/>
      </c>
      <c r="Q1232" s="16" t="n">
        <v>176784</v>
      </c>
      <c r="R1232" s="17" t="n">
        <v>0</v>
      </c>
      <c r="S1232" s="17" t="n">
        <v>0</v>
      </c>
      <c r="T1232" s="17" t="n">
        <v>0</v>
      </c>
      <c r="U1232" s="18" t="n">
        <v>0</v>
      </c>
    </row>
    <row r="1233">
      <c r="A1233" s="13" t="n">
        <v>46260</v>
      </c>
      <c r="B1233" s="4">
        <f>TEXT(A1233,"ddd")</f>
        <v/>
      </c>
      <c r="C1233" s="14" t="n">
        <v>4715.7</v>
      </c>
      <c r="D1233" s="14" t="n">
        <v>4730.9</v>
      </c>
      <c r="E1233" s="14" t="n">
        <v>4638.2</v>
      </c>
      <c r="F1233" s="14" t="n">
        <v>4653.3</v>
      </c>
      <c r="G1233" s="9">
        <f>F1233-F1232</f>
        <v/>
      </c>
      <c r="H1233" s="10">
        <f>IF(F1232=0,0,G1233/F1232)</f>
        <v/>
      </c>
      <c r="I1233" s="8">
        <f>D1233-E1233</f>
        <v/>
      </c>
      <c r="J1233" s="4">
        <f>IF(F1233&gt;C1233,"Up",IF(F1233&lt;C1233,"Down","Flat"))</f>
        <v/>
      </c>
      <c r="K1233" s="14" t="n">
        <v>102.45</v>
      </c>
      <c r="L1233" s="15" t="n">
        <v>70.47</v>
      </c>
      <c r="M1233" s="14" t="n">
        <v>4457.38</v>
      </c>
      <c r="N1233" s="14" t="n">
        <v>4354.69</v>
      </c>
      <c r="O1233" s="14" t="n">
        <v>4325.28</v>
      </c>
      <c r="P1233" s="4">
        <f>IF(O1233="","",IF(F1233&gt;O1233,"Above","Below"))</f>
        <v/>
      </c>
      <c r="Q1233" s="16" t="n">
        <v>151459</v>
      </c>
      <c r="R1233" s="17" t="n">
        <v>0</v>
      </c>
      <c r="S1233" s="17" t="n">
        <v>0</v>
      </c>
      <c r="T1233" s="17" t="n">
        <v>0</v>
      </c>
      <c r="U1233" s="18" t="n">
        <v>0</v>
      </c>
    </row>
    <row r="1234">
      <c r="A1234" s="13" t="n">
        <v>46261</v>
      </c>
      <c r="B1234" s="4">
        <f>TEXT(A1234,"ddd")</f>
        <v/>
      </c>
      <c r="C1234" s="14" t="n">
        <v>4650</v>
      </c>
      <c r="D1234" s="14" t="n">
        <v>4697.7</v>
      </c>
      <c r="E1234" s="14" t="n">
        <v>4616</v>
      </c>
      <c r="F1234" s="14" t="n">
        <v>4664</v>
      </c>
      <c r="G1234" s="9">
        <f>F1234-F1233</f>
        <v/>
      </c>
      <c r="H1234" s="10">
        <f>IF(F1233=0,0,G1234/F1233)</f>
        <v/>
      </c>
      <c r="I1234" s="8">
        <f>D1234-E1234</f>
        <v/>
      </c>
      <c r="J1234" s="4">
        <f>IF(F1234&gt;C1234,"Up",IF(F1234&lt;C1234,"Down","Flat"))</f>
        <v/>
      </c>
      <c r="K1234" s="14" t="n">
        <v>100.97</v>
      </c>
      <c r="L1234" s="15" t="n">
        <v>70.98999999999999</v>
      </c>
      <c r="M1234" s="14" t="n">
        <v>4477.06</v>
      </c>
      <c r="N1234" s="14" t="n">
        <v>4366.82</v>
      </c>
      <c r="O1234" s="14" t="n">
        <v>4328.65</v>
      </c>
      <c r="P1234" s="4">
        <f>IF(O1234="","",IF(F1234&gt;O1234,"Above","Below"))</f>
        <v/>
      </c>
      <c r="Q1234" s="16" t="n">
        <v>140302</v>
      </c>
      <c r="R1234" s="17" t="n">
        <v>0</v>
      </c>
      <c r="S1234" s="17" t="n">
        <v>0</v>
      </c>
      <c r="T1234" s="17" t="n">
        <v>0</v>
      </c>
      <c r="U1234" s="18" t="n">
        <v>0</v>
      </c>
    </row>
    <row r="1235">
      <c r="A1235" s="13" t="n">
        <v>46262</v>
      </c>
      <c r="B1235" s="4">
        <f>TEXT(A1235,"ddd")</f>
        <v/>
      </c>
      <c r="C1235" s="14" t="n">
        <v>4656</v>
      </c>
      <c r="D1235" s="14" t="n">
        <v>4688</v>
      </c>
      <c r="E1235" s="14" t="n">
        <v>4495</v>
      </c>
      <c r="F1235" s="14" t="n">
        <v>4529.9</v>
      </c>
      <c r="G1235" s="9">
        <f>F1235-F1234</f>
        <v/>
      </c>
      <c r="H1235" s="10">
        <f>IF(F1234=0,0,G1235/F1234)</f>
        <v/>
      </c>
      <c r="I1235" s="8">
        <f>D1235-E1235</f>
        <v/>
      </c>
      <c r="J1235" s="4">
        <f>IF(F1235&gt;C1235,"Up",IF(F1235&lt;C1235,"Down","Flat"))</f>
        <v/>
      </c>
      <c r="K1235" s="14" t="n">
        <v>107.54</v>
      </c>
      <c r="L1235" s="15" t="n">
        <v>57.43</v>
      </c>
      <c r="M1235" s="14" t="n">
        <v>4482.09</v>
      </c>
      <c r="N1235" s="14" t="n">
        <v>4373.21</v>
      </c>
      <c r="O1235" s="14" t="n">
        <v>4330.65</v>
      </c>
      <c r="P1235" s="4">
        <f>IF(O1235="","",IF(F1235&gt;O1235,"Above","Below"))</f>
        <v/>
      </c>
      <c r="Q1235" s="16" t="n">
        <v>274603</v>
      </c>
      <c r="R1235" s="17" t="n">
        <v>0</v>
      </c>
      <c r="S1235" s="17" t="n">
        <v>0</v>
      </c>
      <c r="T1235" s="17" t="n">
        <v>0</v>
      </c>
      <c r="U1235" s="18" t="n">
        <v>0</v>
      </c>
    </row>
    <row r="1236">
      <c r="A1236" s="13" t="n">
        <v>46265</v>
      </c>
      <c r="B1236" s="4">
        <f>TEXT(A1236,"ddd")</f>
        <v/>
      </c>
      <c r="C1236" s="14" t="n">
        <v>4456.16</v>
      </c>
      <c r="D1236" s="14" t="n">
        <v>4470.87</v>
      </c>
      <c r="E1236" s="14" t="n">
        <v>4400.1</v>
      </c>
      <c r="F1236" s="14" t="n">
        <v>4448.8</v>
      </c>
      <c r="G1236" s="9">
        <f>F1236-F1235</f>
        <v/>
      </c>
      <c r="H1236" s="10">
        <f>IF(F1235=0,0,G1236/F1235)</f>
        <v/>
      </c>
      <c r="I1236" s="8">
        <f>D1236-E1236</f>
        <v/>
      </c>
      <c r="J1236" s="4">
        <f>IF(F1236&gt;C1236,"Up",IF(F1236&lt;C1236,"Down","Flat"))</f>
        <v/>
      </c>
      <c r="K1236" s="14" t="n">
        <v>109.13</v>
      </c>
      <c r="L1236" s="15" t="n">
        <v>51.08</v>
      </c>
      <c r="M1236" s="14" t="n">
        <v>4478.92</v>
      </c>
      <c r="N1236" s="14" t="n">
        <v>4376.18</v>
      </c>
      <c r="O1236" s="14" t="n">
        <v>4331.83</v>
      </c>
      <c r="P1236" s="4">
        <f>IF(O1236="","",IF(F1236&gt;O1236,"Above","Below"))</f>
        <v/>
      </c>
      <c r="Q1236" s="16" t="n">
        <v>152216</v>
      </c>
      <c r="R1236" s="17" t="n">
        <v>0</v>
      </c>
      <c r="S1236" s="17" t="n">
        <v>0</v>
      </c>
      <c r="T1236" s="17" t="n">
        <v>0</v>
      </c>
      <c r="U1236" s="18" t="n">
        <v>0</v>
      </c>
    </row>
    <row r="1237">
      <c r="A1237" s="13" t="n">
        <v>46266</v>
      </c>
      <c r="B1237" s="4">
        <f>TEXT(A1237,"ddd")</f>
        <v/>
      </c>
      <c r="C1237" s="14" t="n">
        <v>4448.66</v>
      </c>
      <c r="D1237" s="14" t="n">
        <v>4462.06</v>
      </c>
      <c r="E1237" s="14" t="n">
        <v>4323.34</v>
      </c>
      <c r="F1237" s="14" t="n">
        <v>4328.58</v>
      </c>
      <c r="G1237" s="9">
        <f>F1237-F1236</f>
        <v/>
      </c>
      <c r="H1237" s="10">
        <f>IF(F1236=0,0,G1237/F1236)</f>
        <v/>
      </c>
      <c r="I1237" s="8">
        <f>D1237-E1237</f>
        <v/>
      </c>
      <c r="J1237" s="4">
        <f>IF(F1237&gt;C1237,"Up",IF(F1237&lt;C1237,"Down","Flat"))</f>
        <v/>
      </c>
      <c r="K1237" s="14" t="n">
        <v>111.24</v>
      </c>
      <c r="L1237" s="15" t="n">
        <v>43.41</v>
      </c>
      <c r="M1237" s="14" t="n">
        <v>4464.6</v>
      </c>
      <c r="N1237" s="14" t="n">
        <v>4374.31</v>
      </c>
      <c r="O1237" s="14" t="n">
        <v>4331.79</v>
      </c>
      <c r="P1237" s="4">
        <f>IF(O1237="","",IF(F1237&gt;O1237,"Above","Below"))</f>
        <v/>
      </c>
      <c r="Q1237" s="16" t="n">
        <v>198560</v>
      </c>
      <c r="R1237" s="17" t="n">
        <v>0</v>
      </c>
      <c r="S1237" s="17" t="n">
        <v>0</v>
      </c>
      <c r="T1237" s="17" t="n">
        <v>0</v>
      </c>
      <c r="U1237" s="18" t="n">
        <v>0</v>
      </c>
    </row>
    <row r="1238">
      <c r="A1238" s="13" t="n">
        <v>46267</v>
      </c>
      <c r="B1238" s="4">
        <f>TEXT(A1238,"ddd")</f>
        <v/>
      </c>
      <c r="C1238" s="14" t="n">
        <v>4328.63</v>
      </c>
      <c r="D1238" s="14" t="n">
        <v>4396.18</v>
      </c>
      <c r="E1238" s="14" t="n">
        <v>4283.21</v>
      </c>
      <c r="F1238" s="14" t="n">
        <v>4387.77</v>
      </c>
      <c r="G1238" s="9">
        <f>F1238-F1237</f>
        <v/>
      </c>
      <c r="H1238" s="10">
        <f>IF(F1237=0,0,G1238/F1237)</f>
        <v/>
      </c>
      <c r="I1238" s="8">
        <f>D1238-E1238</f>
        <v/>
      </c>
      <c r="J1238" s="4">
        <f>IF(F1238&gt;C1238,"Up",IF(F1238&lt;C1238,"Down","Flat"))</f>
        <v/>
      </c>
      <c r="K1238" s="14" t="n">
        <v>111.37</v>
      </c>
      <c r="L1238" s="15" t="n">
        <v>47.58</v>
      </c>
      <c r="M1238" s="14" t="n">
        <v>4457.28</v>
      </c>
      <c r="N1238" s="14" t="n">
        <v>4374.84</v>
      </c>
      <c r="O1238" s="14" t="n">
        <v>4332.35</v>
      </c>
      <c r="P1238" s="4">
        <f>IF(O1238="","",IF(F1238&gt;O1238,"Above","Below"))</f>
        <v/>
      </c>
      <c r="Q1238" s="16" t="n">
        <v>187568</v>
      </c>
      <c r="R1238" s="17" t="n">
        <v>0</v>
      </c>
      <c r="S1238" s="17" t="n">
        <v>0</v>
      </c>
      <c r="T1238" s="17" t="n">
        <v>0</v>
      </c>
      <c r="U1238" s="18" t="n">
        <v>0</v>
      </c>
    </row>
    <row r="1239">
      <c r="A1239" s="13" t="n">
        <v>46268</v>
      </c>
      <c r="B1239" s="4">
        <f>TEXT(A1239,"ddd")</f>
        <v/>
      </c>
      <c r="C1239" s="14" t="n">
        <v>4388</v>
      </c>
      <c r="D1239" s="14" t="n">
        <v>4510.6</v>
      </c>
      <c r="E1239" s="14" t="n">
        <v>4381.93</v>
      </c>
      <c r="F1239" s="14" t="n">
        <v>4473.79</v>
      </c>
      <c r="G1239" s="9">
        <f>F1239-F1238</f>
        <v/>
      </c>
      <c r="H1239" s="10">
        <f>IF(F1238=0,0,G1239/F1238)</f>
        <v/>
      </c>
      <c r="I1239" s="8">
        <f>D1239-E1239</f>
        <v/>
      </c>
      <c r="J1239" s="4">
        <f>IF(F1239&gt;C1239,"Up",IF(F1239&lt;C1239,"Down","Flat"))</f>
        <v/>
      </c>
      <c r="K1239" s="14" t="n">
        <v>112.6</v>
      </c>
      <c r="L1239" s="15" t="n">
        <v>53</v>
      </c>
      <c r="M1239" s="14" t="n">
        <v>4458.86</v>
      </c>
      <c r="N1239" s="14" t="n">
        <v>4378.72</v>
      </c>
      <c r="O1239" s="14" t="n">
        <v>4333.76</v>
      </c>
      <c r="P1239" s="4">
        <f>IF(O1239="","",IF(F1239&gt;O1239,"Above","Below"))</f>
        <v/>
      </c>
      <c r="Q1239" s="16" t="n">
        <v>209167</v>
      </c>
      <c r="R1239" s="17" t="n">
        <v>0</v>
      </c>
      <c r="S1239" s="17" t="n">
        <v>0</v>
      </c>
      <c r="T1239" s="17" t="n">
        <v>0</v>
      </c>
      <c r="U1239" s="18" t="n">
        <v>0</v>
      </c>
    </row>
    <row r="1240">
      <c r="A1240" s="13" t="n">
        <v>46269</v>
      </c>
      <c r="B1240" s="4">
        <f>TEXT(A1240,"ddd")</f>
        <v/>
      </c>
      <c r="C1240" s="14" t="n">
        <v>4473.54</v>
      </c>
      <c r="D1240" s="14" t="n">
        <v>4514.11</v>
      </c>
      <c r="E1240" s="14" t="n">
        <v>4368.53</v>
      </c>
      <c r="F1240" s="14" t="n">
        <v>4430.06</v>
      </c>
      <c r="G1240" s="9">
        <f>F1240-F1239</f>
        <v/>
      </c>
      <c r="H1240" s="10">
        <f>IF(F1239=0,0,G1240/F1239)</f>
        <v/>
      </c>
      <c r="I1240" s="8">
        <f>D1240-E1240</f>
        <v/>
      </c>
      <c r="J1240" s="4">
        <f>IF(F1240&gt;C1240,"Up",IF(F1240&lt;C1240,"Down","Flat"))</f>
        <v/>
      </c>
      <c r="K1240" s="14" t="n">
        <v>114.96</v>
      </c>
      <c r="L1240" s="15" t="n">
        <v>50.16</v>
      </c>
      <c r="M1240" s="14" t="n">
        <v>4456.11</v>
      </c>
      <c r="N1240" s="14" t="n">
        <v>4380.73</v>
      </c>
      <c r="O1240" s="14" t="n">
        <v>4334.72</v>
      </c>
      <c r="P1240" s="4">
        <f>IF(O1240="","",IF(F1240&gt;O1240,"Above","Below"))</f>
        <v/>
      </c>
      <c r="Q1240" s="16" t="n">
        <v>189656</v>
      </c>
      <c r="R1240" s="17" t="n">
        <v>0</v>
      </c>
      <c r="S1240" s="17" t="n">
        <v>0</v>
      </c>
      <c r="T1240" s="17" t="n">
        <v>0</v>
      </c>
      <c r="U1240" s="18" t="n">
        <v>0</v>
      </c>
    </row>
    <row r="1241">
      <c r="A1241" s="13" t="n">
        <v>46272</v>
      </c>
      <c r="B1241" s="4">
        <f>TEXT(A1241,"ddd")</f>
        <v/>
      </c>
      <c r="C1241" s="14" t="n">
        <v>4428.94</v>
      </c>
      <c r="D1241" s="14" t="n">
        <v>4434.89</v>
      </c>
      <c r="E1241" s="14" t="n">
        <v>4382.51</v>
      </c>
      <c r="F1241" s="14" t="n">
        <v>4405.18</v>
      </c>
      <c r="G1241" s="9">
        <f>F1241-F1240</f>
        <v/>
      </c>
      <c r="H1241" s="10">
        <f>IF(F1240=0,0,G1241/F1240)</f>
        <v/>
      </c>
      <c r="I1241" s="8">
        <f>D1241-E1241</f>
        <v/>
      </c>
      <c r="J1241" s="4">
        <f>IF(F1241&gt;C1241,"Up",IF(F1241&lt;C1241,"Down","Flat"))</f>
        <v/>
      </c>
      <c r="K1241" s="14" t="n">
        <v>110.49</v>
      </c>
      <c r="L1241" s="15" t="n">
        <v>48.57</v>
      </c>
      <c r="M1241" s="14" t="n">
        <v>4451.26</v>
      </c>
      <c r="N1241" s="14" t="n">
        <v>4381.69</v>
      </c>
      <c r="O1241" s="14" t="n">
        <v>4335.42</v>
      </c>
      <c r="P1241" s="4">
        <f>IF(O1241="","",IF(F1241&gt;O1241,"Above","Below"))</f>
        <v/>
      </c>
      <c r="Q1241" s="16" t="n"/>
      <c r="R1241" s="17" t="n">
        <v>0</v>
      </c>
      <c r="S1241" s="17" t="n">
        <v>0</v>
      </c>
      <c r="T1241" s="17" t="n">
        <v>0</v>
      </c>
      <c r="U1241" s="18" t="n">
        <v>0</v>
      </c>
    </row>
    <row r="1242">
      <c r="A1242" s="13" t="n">
        <v>46273</v>
      </c>
      <c r="B1242" s="4">
        <f>TEXT(A1242,"ddd")</f>
        <v/>
      </c>
      <c r="C1242" s="14" t="n">
        <v>4405.05</v>
      </c>
      <c r="D1242" s="14" t="n">
        <v>4443.2</v>
      </c>
      <c r="E1242" s="14" t="n">
        <v>4348.39</v>
      </c>
      <c r="F1242" s="14" t="n">
        <v>4356.03</v>
      </c>
      <c r="G1242" s="9">
        <f>F1242-F1241</f>
        <v/>
      </c>
      <c r="H1242" s="10">
        <f>IF(F1241=0,0,G1242/F1241)</f>
        <v/>
      </c>
      <c r="I1242" s="8">
        <f>D1242-E1242</f>
        <v/>
      </c>
      <c r="J1242" s="4">
        <f>IF(F1242&gt;C1242,"Up",IF(F1242&lt;C1242,"Down","Flat"))</f>
        <v/>
      </c>
      <c r="K1242" s="14" t="n">
        <v>109.37</v>
      </c>
      <c r="L1242" s="15" t="n">
        <v>45.49</v>
      </c>
      <c r="M1242" s="14" t="n">
        <v>4442.19</v>
      </c>
      <c r="N1242" s="14" t="n">
        <v>4380.68</v>
      </c>
      <c r="O1242" s="14" t="n">
        <v>4335.62</v>
      </c>
      <c r="P1242" s="4">
        <f>IF(O1242="","",IF(F1242&gt;O1242,"Above","Below"))</f>
        <v/>
      </c>
      <c r="Q1242" s="16" t="n">
        <v>217162</v>
      </c>
      <c r="R1242" s="17" t="n">
        <v>0</v>
      </c>
      <c r="S1242" s="17" t="n">
        <v>0</v>
      </c>
      <c r="T1242" s="17" t="n">
        <v>0</v>
      </c>
      <c r="U1242" s="18" t="n">
        <v>0</v>
      </c>
    </row>
    <row r="1243">
      <c r="A1243" s="13" t="n">
        <v>46274</v>
      </c>
      <c r="B1243" s="4">
        <f>TEXT(A1243,"ddd")</f>
        <v/>
      </c>
      <c r="C1243" s="14" t="n">
        <v>4360.4</v>
      </c>
      <c r="D1243" s="14" t="n">
        <v>4434.18</v>
      </c>
      <c r="E1243" s="14" t="n">
        <v>4341.44</v>
      </c>
      <c r="F1243" s="14" t="n">
        <v>4401.55</v>
      </c>
      <c r="G1243" s="9">
        <f>F1243-F1242</f>
        <v/>
      </c>
      <c r="H1243" s="10">
        <f>IF(F1242=0,0,G1243/F1242)</f>
        <v/>
      </c>
      <c r="I1243" s="8">
        <f>D1243-E1243</f>
        <v/>
      </c>
      <c r="J1243" s="4">
        <f>IF(F1243&gt;C1243,"Up",IF(F1243&lt;C1243,"Down","Flat"))</f>
        <v/>
      </c>
      <c r="K1243" s="14" t="n">
        <v>108.18</v>
      </c>
      <c r="L1243" s="15" t="n">
        <v>48.73</v>
      </c>
      <c r="M1243" s="14" t="n">
        <v>4438.32</v>
      </c>
      <c r="N1243" s="14" t="n">
        <v>4381.5</v>
      </c>
      <c r="O1243" s="14" t="n">
        <v>4336.28</v>
      </c>
      <c r="P1243" s="4">
        <f>IF(O1243="","",IF(F1243&gt;O1243,"Above","Below"))</f>
        <v/>
      </c>
      <c r="Q1243" s="16" t="n">
        <v>164390</v>
      </c>
      <c r="R1243" s="17" t="n">
        <v>0</v>
      </c>
      <c r="S1243" s="17" t="n">
        <v>0</v>
      </c>
      <c r="T1243" s="17" t="n">
        <v>0</v>
      </c>
      <c r="U1243" s="18" t="n">
        <v>0</v>
      </c>
    </row>
    <row r="1244">
      <c r="A1244" s="13" t="n">
        <v>46275</v>
      </c>
      <c r="B1244" s="4">
        <f>TEXT(A1244,"ddd")</f>
        <v/>
      </c>
      <c r="C1244" s="14" t="n">
        <v>4404.82</v>
      </c>
      <c r="D1244" s="14" t="n">
        <v>4433</v>
      </c>
      <c r="E1244" s="14" t="n">
        <v>4313.71</v>
      </c>
      <c r="F1244" s="14" t="n">
        <v>4317.3</v>
      </c>
      <c r="G1244" s="9">
        <f>F1244-F1243</f>
        <v/>
      </c>
      <c r="H1244" s="10">
        <f>IF(F1243=0,0,G1244/F1243)</f>
        <v/>
      </c>
      <c r="I1244" s="8">
        <f>D1244-E1244</f>
        <v/>
      </c>
      <c r="J1244" s="4">
        <f>IF(F1244&gt;C1244,"Up",IF(F1244&lt;C1244,"Down","Flat"))</f>
        <v/>
      </c>
      <c r="K1244" s="14" t="n">
        <v>108.98</v>
      </c>
      <c r="L1244" s="15" t="n">
        <v>43.57</v>
      </c>
      <c r="M1244" s="14" t="n">
        <v>4426.8</v>
      </c>
      <c r="N1244" s="14" t="n">
        <v>4378.98</v>
      </c>
      <c r="O1244" s="14" t="n">
        <v>4336.09</v>
      </c>
      <c r="P1244" s="4">
        <f>IF(O1244="","",IF(F1244&gt;O1244,"Above","Below"))</f>
        <v/>
      </c>
      <c r="Q1244" s="16" t="n">
        <v>201300</v>
      </c>
      <c r="R1244" s="17" t="n">
        <v>0</v>
      </c>
      <c r="S1244" s="17" t="n">
        <v>0</v>
      </c>
      <c r="T1244" s="17" t="n">
        <v>0</v>
      </c>
      <c r="U1244" s="18" t="n">
        <v>0</v>
      </c>
    </row>
    <row r="1245">
      <c r="A1245" s="13" t="n">
        <v>46276</v>
      </c>
      <c r="B1245" s="4">
        <f>TEXT(A1245,"ddd")</f>
        <v/>
      </c>
      <c r="C1245" s="14" t="n">
        <v>4319.31</v>
      </c>
      <c r="D1245" s="14" t="n">
        <v>4402.7</v>
      </c>
      <c r="E1245" s="14" t="n">
        <v>4295.55</v>
      </c>
      <c r="F1245" s="14" t="n">
        <v>4348.72</v>
      </c>
      <c r="G1245" s="9">
        <f>F1245-F1244</f>
        <v/>
      </c>
      <c r="H1245" s="10">
        <f>IF(F1244=0,0,G1245/F1244)</f>
        <v/>
      </c>
      <c r="I1245" s="8">
        <f>D1245-E1245</f>
        <v/>
      </c>
      <c r="J1245" s="4">
        <f>IF(F1245&gt;C1245,"Up",IF(F1245&lt;C1245,"Down","Flat"))</f>
        <v/>
      </c>
      <c r="K1245" s="14" t="n">
        <v>108.84</v>
      </c>
      <c r="L1245" s="15" t="n">
        <v>45.87</v>
      </c>
      <c r="M1245" s="14" t="n">
        <v>4419.36</v>
      </c>
      <c r="N1245" s="14" t="n">
        <v>4377.8</v>
      </c>
      <c r="O1245" s="14" t="n">
        <v>4336.22</v>
      </c>
      <c r="P1245" s="4">
        <f>IF(O1245="","",IF(F1245&gt;O1245,"Above","Below"))</f>
        <v/>
      </c>
      <c r="Q1245" s="16" t="n">
        <v>187975</v>
      </c>
      <c r="R1245" s="17" t="n">
        <v>0</v>
      </c>
      <c r="S1245" s="17" t="n">
        <v>0</v>
      </c>
      <c r="T1245" s="17" t="n">
        <v>0</v>
      </c>
      <c r="U1245" s="18" t="n">
        <v>0</v>
      </c>
    </row>
    <row r="1246">
      <c r="A1246" s="13" t="n">
        <v>46279</v>
      </c>
      <c r="B1246" s="4">
        <f>TEXT(A1246,"ddd")</f>
        <v/>
      </c>
      <c r="C1246" s="14" t="n">
        <v>4332.7</v>
      </c>
      <c r="D1246" s="14" t="n">
        <v>4355.65</v>
      </c>
      <c r="E1246" s="14" t="n">
        <v>4253.3</v>
      </c>
      <c r="F1246" s="14" t="n">
        <v>4298.8</v>
      </c>
      <c r="G1246" s="9">
        <f>F1246-F1245</f>
        <v/>
      </c>
      <c r="H1246" s="10">
        <f>IF(F1245=0,0,G1246/F1245)</f>
        <v/>
      </c>
      <c r="I1246" s="8">
        <f>D1246-E1246</f>
        <v/>
      </c>
      <c r="J1246" s="4">
        <f>IF(F1246&gt;C1246,"Up",IF(F1246&lt;C1246,"Down","Flat"))</f>
        <v/>
      </c>
      <c r="K1246" s="14" t="n">
        <v>108.38</v>
      </c>
      <c r="L1246" s="15" t="n">
        <v>42.88</v>
      </c>
      <c r="M1246" s="14" t="n">
        <v>4407.88</v>
      </c>
      <c r="N1246" s="14" t="n">
        <v>4374.7</v>
      </c>
      <c r="O1246" s="14" t="n">
        <v>4335.84</v>
      </c>
      <c r="P1246" s="4">
        <f>IF(O1246="","",IF(F1246&gt;O1246,"Above","Below"))</f>
        <v/>
      </c>
      <c r="Q1246" s="16" t="n">
        <v>164499</v>
      </c>
      <c r="R1246" s="17" t="n">
        <v>0</v>
      </c>
      <c r="S1246" s="17" t="n">
        <v>0</v>
      </c>
      <c r="T1246" s="17" t="n">
        <v>0</v>
      </c>
      <c r="U1246" s="18" t="n">
        <v>0</v>
      </c>
    </row>
    <row r="1247">
      <c r="A1247" s="13" t="n">
        <v>46280</v>
      </c>
      <c r="B1247" s="4">
        <f>TEXT(A1247,"ddd")</f>
        <v/>
      </c>
      <c r="C1247" s="14" t="n">
        <v>4299.35</v>
      </c>
      <c r="D1247" s="14" t="n">
        <v>4318.08</v>
      </c>
      <c r="E1247" s="14" t="n">
        <v>4261.39</v>
      </c>
      <c r="F1247" s="14" t="n">
        <v>4294</v>
      </c>
      <c r="G1247" s="9">
        <f>F1247-F1246</f>
        <v/>
      </c>
      <c r="H1247" s="10">
        <f>IF(F1246=0,0,G1247/F1246)</f>
        <v/>
      </c>
      <c r="I1247" s="8">
        <f>D1247-E1247</f>
        <v/>
      </c>
      <c r="J1247" s="4">
        <f>IF(F1247&gt;C1247,"Up",IF(F1247&lt;C1247,"Down","Flat"))</f>
        <v/>
      </c>
      <c r="K1247" s="14" t="n">
        <v>104.69</v>
      </c>
      <c r="L1247" s="15" t="n">
        <v>42.59</v>
      </c>
      <c r="M1247" s="14" t="n">
        <v>4397.03</v>
      </c>
      <c r="N1247" s="14" t="n">
        <v>4371.53</v>
      </c>
      <c r="O1247" s="14" t="n">
        <v>4335.43</v>
      </c>
      <c r="P1247" s="4">
        <f>IF(O1247="","",IF(F1247&gt;O1247,"Above","Below"))</f>
        <v/>
      </c>
      <c r="Q1247" s="16" t="n">
        <v>146019</v>
      </c>
      <c r="R1247" s="17" t="n">
        <v>0</v>
      </c>
      <c r="S1247" s="17" t="n">
        <v>0</v>
      </c>
      <c r="T1247" s="17" t="n">
        <v>0</v>
      </c>
      <c r="U1247" s="18" t="n">
        <v>0</v>
      </c>
    </row>
    <row r="1248">
      <c r="A1248" s="13" t="n">
        <v>46281</v>
      </c>
      <c r="B1248" s="4">
        <f>TEXT(A1248,"ddd")</f>
        <v/>
      </c>
      <c r="C1248" s="14" t="n">
        <v>4294.5</v>
      </c>
      <c r="D1248" s="14" t="n">
        <v>4368.04</v>
      </c>
      <c r="E1248" s="14" t="n">
        <v>4235.08</v>
      </c>
      <c r="F1248" s="14" t="n">
        <v>4263.5</v>
      </c>
      <c r="G1248" s="9">
        <f>F1248-F1247</f>
        <v/>
      </c>
      <c r="H1248" s="10">
        <f>IF(F1247=0,0,G1248/F1247)</f>
        <v/>
      </c>
      <c r="I1248" s="8">
        <f>D1248-E1248</f>
        <v/>
      </c>
      <c r="J1248" s="4">
        <f>IF(F1248&gt;C1248,"Up",IF(F1248&lt;C1248,"Down","Flat"))</f>
        <v/>
      </c>
      <c r="K1248" s="14" t="n">
        <v>106.71</v>
      </c>
      <c r="L1248" s="15" t="n">
        <v>40.72</v>
      </c>
      <c r="M1248" s="14" t="n">
        <v>4384.32</v>
      </c>
      <c r="N1248" s="14" t="n">
        <v>4367.3</v>
      </c>
      <c r="O1248" s="14" t="n">
        <v>4334.71</v>
      </c>
      <c r="P1248" s="4">
        <f>IF(O1248="","",IF(F1248&gt;O1248,"Above","Below"))</f>
        <v/>
      </c>
      <c r="Q1248" s="16" t="n">
        <v>249081</v>
      </c>
      <c r="R1248" s="17" t="n">
        <v>0</v>
      </c>
      <c r="S1248" s="17" t="n">
        <v>0</v>
      </c>
      <c r="T1248" s="17" t="n">
        <v>0</v>
      </c>
      <c r="U1248" s="18" t="n">
        <v>0</v>
      </c>
    </row>
    <row r="1249">
      <c r="A1249" s="13" t="n">
        <v>46282</v>
      </c>
      <c r="B1249" s="4">
        <f>TEXT(A1249,"ddd")</f>
        <v/>
      </c>
      <c r="C1249" s="14" t="n">
        <v>4263.97</v>
      </c>
      <c r="D1249" s="14" t="n">
        <v>4382.63</v>
      </c>
      <c r="E1249" s="14" t="n">
        <v>4257.55</v>
      </c>
      <c r="F1249" s="14" t="n">
        <v>4341.3</v>
      </c>
      <c r="G1249" s="9">
        <f>F1249-F1248</f>
        <v/>
      </c>
      <c r="H1249" s="10">
        <f>IF(F1248=0,0,G1249/F1248)</f>
        <v/>
      </c>
      <c r="I1249" s="8">
        <f>D1249-E1249</f>
        <v/>
      </c>
      <c r="J1249" s="4">
        <f>IF(F1249&gt;C1249,"Up",IF(F1249&lt;C1249,"Down","Flat"))</f>
        <v/>
      </c>
      <c r="K1249" s="14" t="n">
        <v>108.02</v>
      </c>
      <c r="L1249" s="15" t="n">
        <v>47.1</v>
      </c>
      <c r="M1249" s="14" t="n">
        <v>4380.22</v>
      </c>
      <c r="N1249" s="14" t="n">
        <v>4366.28</v>
      </c>
      <c r="O1249" s="14" t="n">
        <v>4334.78</v>
      </c>
      <c r="P1249" s="4">
        <f>IF(O1249="","",IF(F1249&gt;O1249,"Above","Below"))</f>
        <v/>
      </c>
      <c r="Q1249" s="16" t="n">
        <v>169188</v>
      </c>
      <c r="R1249" s="17" t="n">
        <v>0</v>
      </c>
      <c r="S1249" s="17" t="n">
        <v>0</v>
      </c>
      <c r="T1249" s="17" t="n">
        <v>0</v>
      </c>
      <c r="U1249" s="18" t="n">
        <v>0</v>
      </c>
    </row>
    <row r="1250">
      <c r="A1250" s="13" t="n">
        <v>46283</v>
      </c>
      <c r="B1250" s="4">
        <f>TEXT(A1250,"ddd")</f>
        <v/>
      </c>
      <c r="C1250" s="14" t="n">
        <v>4342.73</v>
      </c>
      <c r="D1250" s="14" t="n">
        <v>4399.77</v>
      </c>
      <c r="E1250" s="14" t="n">
        <v>4334.34</v>
      </c>
      <c r="F1250" s="14" t="n">
        <v>4378.17</v>
      </c>
      <c r="G1250" s="9">
        <f>F1250-F1249</f>
        <v/>
      </c>
      <c r="H1250" s="10">
        <f>IF(F1249=0,0,G1250/F1249)</f>
        <v/>
      </c>
      <c r="I1250" s="8">
        <f>D1250-E1250</f>
        <v/>
      </c>
      <c r="J1250" s="4">
        <f>IF(F1250&gt;C1250,"Up",IF(F1250&lt;C1250,"Down","Flat"))</f>
        <v/>
      </c>
      <c r="K1250" s="14" t="n">
        <v>104.98</v>
      </c>
      <c r="L1250" s="15" t="n">
        <v>49.86</v>
      </c>
      <c r="M1250" s="14" t="n">
        <v>4380.02</v>
      </c>
      <c r="N1250" s="14" t="n">
        <v>4366.74</v>
      </c>
      <c r="O1250" s="14" t="n">
        <v>4335.21</v>
      </c>
      <c r="P1250" s="4">
        <f>IF(O1250="","",IF(F1250&gt;O1250,"Above","Below"))</f>
        <v/>
      </c>
      <c r="Q1250" s="16" t="n">
        <v>142919</v>
      </c>
      <c r="R1250" s="17" t="n">
        <v>0</v>
      </c>
      <c r="S1250" s="17" t="n">
        <v>0</v>
      </c>
      <c r="T1250" s="17" t="n">
        <v>0</v>
      </c>
      <c r="U1250" s="18" t="n">
        <v>0</v>
      </c>
    </row>
    <row r="1251">
      <c r="A1251" s="13" t="n">
        <v>46286</v>
      </c>
      <c r="B1251" s="4">
        <f>TEXT(A1251,"ddd")</f>
        <v/>
      </c>
      <c r="C1251" s="14" t="n">
        <v>4383.44</v>
      </c>
      <c r="D1251" s="14" t="n">
        <v>4387.51</v>
      </c>
      <c r="E1251" s="14" t="n">
        <v>4322.63</v>
      </c>
      <c r="F1251" s="14" t="n">
        <v>4343.56</v>
      </c>
      <c r="G1251" s="9">
        <f>F1251-F1250</f>
        <v/>
      </c>
      <c r="H1251" s="10">
        <f>IF(F1250=0,0,G1251/F1250)</f>
        <v/>
      </c>
      <c r="I1251" s="8">
        <f>D1251-E1251</f>
        <v/>
      </c>
      <c r="J1251" s="4">
        <f>IF(F1251&gt;C1251,"Up",IF(F1251&lt;C1251,"Down","Flat"))</f>
        <v/>
      </c>
      <c r="K1251" s="14" t="n">
        <v>102.11</v>
      </c>
      <c r="L1251" s="15" t="n">
        <v>47.36</v>
      </c>
      <c r="M1251" s="14" t="n">
        <v>4376.55</v>
      </c>
      <c r="N1251" s="14" t="n">
        <v>4365.84</v>
      </c>
      <c r="O1251" s="14" t="n">
        <v>4335.29</v>
      </c>
      <c r="P1251" s="4">
        <f>IF(O1251="","",IF(F1251&gt;O1251,"Above","Below"))</f>
        <v/>
      </c>
      <c r="Q1251" s="16" t="n">
        <v>138203</v>
      </c>
      <c r="R1251" s="17" t="n">
        <v>0</v>
      </c>
      <c r="S1251" s="17" t="n">
        <v>0</v>
      </c>
      <c r="T1251" s="17" t="n">
        <v>0</v>
      </c>
      <c r="U1251" s="18" t="n">
        <v>0</v>
      </c>
    </row>
    <row r="1252">
      <c r="A1252" s="13" t="n">
        <v>46287</v>
      </c>
      <c r="B1252" s="4">
        <f>TEXT(A1252,"ddd")</f>
        <v/>
      </c>
      <c r="C1252" s="14" t="n">
        <v>4343.57</v>
      </c>
      <c r="D1252" s="14" t="n">
        <v>4378.25</v>
      </c>
      <c r="E1252" s="14" t="n">
        <v>4291.42</v>
      </c>
      <c r="F1252" s="14" t="n">
        <v>4355.48</v>
      </c>
      <c r="G1252" s="9">
        <f>F1252-F1251</f>
        <v/>
      </c>
      <c r="H1252" s="10">
        <f>IF(F1251=0,0,G1252/F1251)</f>
        <v/>
      </c>
      <c r="I1252" s="8">
        <f>D1252-E1252</f>
        <v/>
      </c>
      <c r="J1252" s="4">
        <f>IF(F1252&gt;C1252,"Up",IF(F1252&lt;C1252,"Down","Flat"))</f>
        <v/>
      </c>
      <c r="K1252" s="14" t="n">
        <v>101.02</v>
      </c>
      <c r="L1252" s="15" t="n">
        <v>48.32</v>
      </c>
      <c r="M1252" s="14" t="n">
        <v>4374.54</v>
      </c>
      <c r="N1252" s="14" t="n">
        <v>4365.43</v>
      </c>
      <c r="O1252" s="14" t="n">
        <v>4335.49</v>
      </c>
      <c r="P1252" s="4">
        <f>IF(O1252="","",IF(F1252&gt;O1252,"Above","Below"))</f>
        <v/>
      </c>
      <c r="Q1252" s="16" t="n">
        <v>178132</v>
      </c>
      <c r="R1252" s="17" t="n">
        <v>0</v>
      </c>
      <c r="S1252" s="17" t="n">
        <v>0</v>
      </c>
      <c r="T1252" s="17" t="n">
        <v>0</v>
      </c>
      <c r="U1252" s="18" t="n">
        <v>0</v>
      </c>
    </row>
    <row r="1253">
      <c r="A1253" s="13" t="n">
        <v>46288</v>
      </c>
      <c r="B1253" s="4">
        <f>TEXT(A1253,"ddd")</f>
        <v/>
      </c>
      <c r="C1253" s="14" t="n">
        <v>4357.02</v>
      </c>
      <c r="D1253" s="14" t="n">
        <v>4371.45</v>
      </c>
      <c r="E1253" s="14" t="n">
        <v>4274.73</v>
      </c>
      <c r="F1253" s="14" t="n">
        <v>4287.51</v>
      </c>
      <c r="G1253" s="9">
        <f>F1253-F1252</f>
        <v/>
      </c>
      <c r="H1253" s="10">
        <f>IF(F1252=0,0,G1253/F1252)</f>
        <v/>
      </c>
      <c r="I1253" s="8">
        <f>D1253-E1253</f>
        <v/>
      </c>
      <c r="J1253" s="4">
        <f>IF(F1253&gt;C1253,"Up",IF(F1253&lt;C1253,"Down","Flat"))</f>
        <v/>
      </c>
      <c r="K1253" s="14" t="n">
        <v>100.71</v>
      </c>
      <c r="L1253" s="15" t="n">
        <v>43.46</v>
      </c>
      <c r="M1253" s="14" t="n">
        <v>4366.26</v>
      </c>
      <c r="N1253" s="14" t="n">
        <v>4362.37</v>
      </c>
      <c r="O1253" s="14" t="n">
        <v>4335.02</v>
      </c>
      <c r="P1253" s="4">
        <f>IF(O1253="","",IF(F1253&gt;O1253,"Above","Below"))</f>
        <v/>
      </c>
      <c r="Q1253" s="16" t="n">
        <v>143873</v>
      </c>
      <c r="R1253" s="17" t="n">
        <v>0</v>
      </c>
      <c r="S1253" s="17" t="n">
        <v>0</v>
      </c>
      <c r="T1253" s="17" t="n">
        <v>0</v>
      </c>
      <c r="U1253" s="18" t="n">
        <v>0</v>
      </c>
    </row>
    <row r="1254">
      <c r="A1254" s="13" t="n">
        <v>46289</v>
      </c>
      <c r="B1254" s="4">
        <f>TEXT(A1254,"ddd")</f>
        <v/>
      </c>
      <c r="C1254" s="14" t="n">
        <v>4287.38</v>
      </c>
      <c r="D1254" s="14" t="n">
        <v>4304.95</v>
      </c>
      <c r="E1254" s="14" t="n">
        <v>4244.63</v>
      </c>
      <c r="F1254" s="14" t="n">
        <v>4278.52</v>
      </c>
      <c r="G1254" s="9">
        <f>F1254-F1253</f>
        <v/>
      </c>
      <c r="H1254" s="10">
        <f>IF(F1253=0,0,G1254/F1253)</f>
        <v/>
      </c>
      <c r="I1254" s="8">
        <f>D1254-E1254</f>
        <v/>
      </c>
      <c r="J1254" s="4">
        <f>IF(F1254&gt;C1254,"Up",IF(F1254&lt;C1254,"Down","Flat"))</f>
        <v/>
      </c>
      <c r="K1254" s="14" t="n">
        <v>97.83</v>
      </c>
      <c r="L1254" s="15" t="n">
        <v>42.85</v>
      </c>
      <c r="M1254" s="14" t="n">
        <v>4357.9</v>
      </c>
      <c r="N1254" s="14" t="n">
        <v>4359.09</v>
      </c>
      <c r="O1254" s="14" t="n">
        <v>4334.45</v>
      </c>
      <c r="P1254" s="4">
        <f>IF(O1254="","",IF(F1254&gt;O1254,"Above","Below"))</f>
        <v/>
      </c>
      <c r="Q1254" s="16" t="n">
        <v>164814</v>
      </c>
      <c r="R1254" s="17" t="n">
        <v>0</v>
      </c>
      <c r="S1254" s="17" t="n">
        <v>0</v>
      </c>
      <c r="T1254" s="17" t="n">
        <v>0</v>
      </c>
      <c r="U1254" s="18" t="n">
        <v>0</v>
      </c>
    </row>
    <row r="1255">
      <c r="A1255" s="13" t="n">
        <v>46290</v>
      </c>
      <c r="B1255" s="4">
        <f>TEXT(A1255,"ddd")</f>
        <v/>
      </c>
      <c r="C1255" s="14" t="n">
        <v>4279.12</v>
      </c>
      <c r="D1255" s="14" t="n">
        <v>4316.81</v>
      </c>
      <c r="E1255" s="14" t="n">
        <v>4254.45</v>
      </c>
      <c r="F1255" s="14" t="n">
        <v>4287.25</v>
      </c>
      <c r="G1255" s="9">
        <f>F1255-F1254</f>
        <v/>
      </c>
      <c r="H1255" s="10">
        <f>IF(F1254=0,0,G1255/F1254)</f>
        <v/>
      </c>
      <c r="I1255" s="8">
        <f>D1255-E1255</f>
        <v/>
      </c>
      <c r="J1255" s="4">
        <f>IF(F1255&gt;C1255,"Up",IF(F1255&lt;C1255,"Down","Flat"))</f>
        <v/>
      </c>
      <c r="K1255" s="14" t="n">
        <v>95.3</v>
      </c>
      <c r="L1255" s="15" t="n">
        <v>43.68</v>
      </c>
      <c r="M1255" s="14" t="n">
        <v>4351.17</v>
      </c>
      <c r="N1255" s="14" t="n">
        <v>4356.27</v>
      </c>
      <c r="O1255" s="14" t="n">
        <v>4333.98</v>
      </c>
      <c r="P1255" s="4">
        <f>IF(O1255="","",IF(F1255&gt;O1255,"Above","Below"))</f>
        <v/>
      </c>
      <c r="Q1255" s="16" t="n">
        <v>140092</v>
      </c>
      <c r="R1255" s="17" t="n">
        <v>0</v>
      </c>
      <c r="S1255" s="17" t="n">
        <v>0</v>
      </c>
      <c r="T1255" s="17" t="n">
        <v>0</v>
      </c>
      <c r="U1255" s="18" t="n">
        <v>0</v>
      </c>
    </row>
    <row r="1256">
      <c r="A1256" s="13" t="n">
        <v>46293</v>
      </c>
      <c r="B1256" s="4">
        <f>TEXT(A1256,"ddd")</f>
        <v/>
      </c>
      <c r="C1256" s="14" t="n">
        <v>4277.9</v>
      </c>
      <c r="D1256" s="14" t="n">
        <v>4280.56</v>
      </c>
      <c r="E1256" s="14" t="n">
        <v>4110.95</v>
      </c>
      <c r="F1256" s="14" t="n">
        <v>4115.27</v>
      </c>
      <c r="G1256" s="9">
        <f>F1256-F1255</f>
        <v/>
      </c>
      <c r="H1256" s="10">
        <f>IF(F1255=0,0,G1256/F1255)</f>
        <v/>
      </c>
      <c r="I1256" s="8">
        <f>D1256-E1256</f>
        <v/>
      </c>
      <c r="J1256" s="4">
        <f>IF(F1256&gt;C1256,"Up",IF(F1256&lt;C1256,"Down","Flat"))</f>
        <v/>
      </c>
      <c r="K1256" s="14" t="n">
        <v>101.08</v>
      </c>
      <c r="L1256" s="15" t="n">
        <v>33.37</v>
      </c>
      <c r="M1256" s="14" t="n">
        <v>4328.7</v>
      </c>
      <c r="N1256" s="14" t="n">
        <v>4346.82</v>
      </c>
      <c r="O1256" s="14" t="n">
        <v>4331.81</v>
      </c>
      <c r="P1256" s="4">
        <f>IF(O1256="","",IF(F1256&gt;O1256,"Above","Below"))</f>
        <v/>
      </c>
      <c r="Q1256" s="16" t="n">
        <v>229031</v>
      </c>
      <c r="R1256" s="17" t="n">
        <v>0</v>
      </c>
      <c r="S1256" s="17" t="n">
        <v>0</v>
      </c>
      <c r="T1256" s="17" t="n">
        <v>0</v>
      </c>
      <c r="U1256" s="18" t="n">
        <v>0</v>
      </c>
    </row>
    <row r="1257">
      <c r="A1257" s="13" t="n">
        <v>46294</v>
      </c>
      <c r="B1257" s="4">
        <f>TEXT(A1257,"ddd")</f>
        <v/>
      </c>
      <c r="C1257" s="14" t="n">
        <v>4113.87</v>
      </c>
      <c r="D1257" s="14" t="n">
        <v>4185.42</v>
      </c>
      <c r="E1257" s="14" t="n">
        <v>4113.57</v>
      </c>
      <c r="F1257" s="14" t="n">
        <v>4182.8</v>
      </c>
      <c r="G1257" s="9">
        <f>F1257-F1256</f>
        <v/>
      </c>
      <c r="H1257" s="10">
        <f>IF(F1256=0,0,G1257/F1256)</f>
        <v/>
      </c>
      <c r="I1257" s="8">
        <f>D1257-E1257</f>
        <v/>
      </c>
      <c r="J1257" s="4">
        <f>IF(F1257&gt;C1257,"Up",IF(F1257&lt;C1257,"Down","Flat"))</f>
        <v/>
      </c>
      <c r="K1257" s="14" t="n">
        <v>98.98999999999999</v>
      </c>
      <c r="L1257" s="15" t="n">
        <v>39.42</v>
      </c>
      <c r="M1257" s="14" t="n">
        <v>4314.81</v>
      </c>
      <c r="N1257" s="14" t="n">
        <v>4340.39</v>
      </c>
      <c r="O1257" s="14" t="n">
        <v>4330.32</v>
      </c>
      <c r="P1257" s="4">
        <f>IF(O1257="","",IF(F1257&gt;O1257,"Above","Below"))</f>
        <v/>
      </c>
      <c r="Q1257" s="16" t="n">
        <v>149747</v>
      </c>
      <c r="R1257" s="17" t="n">
        <v>0</v>
      </c>
      <c r="S1257" s="17" t="n">
        <v>0</v>
      </c>
      <c r="T1257" s="17" t="n">
        <v>0</v>
      </c>
      <c r="U1257" s="18" t="n">
        <v>0</v>
      </c>
    </row>
    <row r="1258">
      <c r="A1258" s="13" t="n">
        <v>46295</v>
      </c>
      <c r="B1258" s="4">
        <f>TEXT(A1258,"ddd")</f>
        <v/>
      </c>
      <c r="C1258" s="14" t="n">
        <v>4182.8</v>
      </c>
      <c r="D1258" s="14" t="n">
        <v>4219.46</v>
      </c>
      <c r="E1258" s="14" t="n">
        <v>4147.47</v>
      </c>
      <c r="F1258" s="14" t="n">
        <v>4157.34</v>
      </c>
      <c r="G1258" s="9">
        <f>F1258-F1257</f>
        <v/>
      </c>
      <c r="H1258" s="10">
        <f>IF(F1257=0,0,G1258/F1257)</f>
        <v/>
      </c>
      <c r="I1258" s="8">
        <f>D1258-E1258</f>
        <v/>
      </c>
      <c r="J1258" s="4">
        <f>IF(F1258&gt;C1258,"Up",IF(F1258&lt;C1258,"Down","Flat"))</f>
        <v/>
      </c>
      <c r="K1258" s="14" t="n">
        <v>97.06999999999999</v>
      </c>
      <c r="L1258" s="15" t="n">
        <v>38.02</v>
      </c>
      <c r="M1258" s="14" t="n">
        <v>4299.81</v>
      </c>
      <c r="N1258" s="14" t="n">
        <v>4333.21</v>
      </c>
      <c r="O1258" s="14" t="n">
        <v>4328.6</v>
      </c>
      <c r="P1258" s="4">
        <f>IF(O1258="","",IF(F1258&gt;O1258,"Above","Below"))</f>
        <v/>
      </c>
      <c r="Q1258" s="16" t="n">
        <v>156277</v>
      </c>
      <c r="R1258" s="17" t="n">
        <v>0</v>
      </c>
      <c r="S1258" s="17" t="n">
        <v>0</v>
      </c>
      <c r="T1258" s="17" t="n">
        <v>0</v>
      </c>
      <c r="U1258" s="18" t="n">
        <v>0</v>
      </c>
    </row>
    <row r="1259">
      <c r="A1259" s="13" t="n">
        <v>46296</v>
      </c>
      <c r="B1259" s="4">
        <f>TEXT(A1259,"ddd")</f>
        <v/>
      </c>
      <c r="C1259" s="14" t="n">
        <v>4157.35</v>
      </c>
      <c r="D1259" s="14" t="n">
        <v>4193.03</v>
      </c>
      <c r="E1259" s="14" t="n">
        <v>4139.29</v>
      </c>
      <c r="F1259" s="14" t="n">
        <v>4178.86</v>
      </c>
      <c r="G1259" s="9">
        <f>F1259-F1258</f>
        <v/>
      </c>
      <c r="H1259" s="10">
        <f>IF(F1258=0,0,G1259/F1258)</f>
        <v/>
      </c>
      <c r="I1259" s="8">
        <f>D1259-E1259</f>
        <v/>
      </c>
      <c r="J1259" s="4">
        <f>IF(F1259&gt;C1259,"Up",IF(F1259&lt;C1259,"Down","Flat"))</f>
        <v/>
      </c>
      <c r="K1259" s="14" t="n">
        <v>93.97</v>
      </c>
      <c r="L1259" s="15" t="n">
        <v>39.96</v>
      </c>
      <c r="M1259" s="14" t="n">
        <v>4288.29</v>
      </c>
      <c r="N1259" s="14" t="n">
        <v>4327.15</v>
      </c>
      <c r="O1259" s="14" t="n">
        <v>4327.11</v>
      </c>
      <c r="P1259" s="4">
        <f>IF(O1259="","",IF(F1259&gt;O1259,"Above","Below"))</f>
        <v/>
      </c>
      <c r="Q1259" s="16" t="n">
        <v>130846</v>
      </c>
      <c r="R1259" s="17" t="n">
        <v>0</v>
      </c>
      <c r="S1259" s="17" t="n">
        <v>0</v>
      </c>
      <c r="T1259" s="17" t="n">
        <v>0</v>
      </c>
      <c r="U1259" s="18" t="n">
        <v>0</v>
      </c>
    </row>
    <row r="1260">
      <c r="A1260" s="13" t="n">
        <v>46297</v>
      </c>
      <c r="B1260" s="4">
        <f>TEXT(A1260,"ddd")</f>
        <v/>
      </c>
      <c r="C1260" s="14" t="n">
        <v>4175.31</v>
      </c>
      <c r="D1260" s="14" t="n">
        <v>4225.62</v>
      </c>
      <c r="E1260" s="14" t="n">
        <v>4125.25</v>
      </c>
      <c r="F1260" s="14" t="n">
        <v>4142.96</v>
      </c>
      <c r="G1260" s="9">
        <f>F1260-F1259</f>
        <v/>
      </c>
      <c r="H1260" s="10">
        <f>IF(F1259=0,0,G1260/F1259)</f>
        <v/>
      </c>
      <c r="I1260" s="8">
        <f>D1260-E1260</f>
        <v/>
      </c>
      <c r="J1260" s="4">
        <f>IF(F1260&gt;C1260,"Up",IF(F1260&lt;C1260,"Down","Flat"))</f>
        <v/>
      </c>
      <c r="K1260" s="14" t="n">
        <v>94.43000000000001</v>
      </c>
      <c r="L1260" s="15" t="n">
        <v>37.83</v>
      </c>
      <c r="M1260" s="14" t="n">
        <v>4274.45</v>
      </c>
      <c r="N1260" s="14" t="n">
        <v>4319.93</v>
      </c>
      <c r="O1260" s="14" t="n">
        <v>4325.28</v>
      </c>
      <c r="P1260" s="4">
        <f>IF(O1260="","",IF(F1260&gt;O1260,"Above","Below"))</f>
        <v/>
      </c>
      <c r="Q1260" s="16" t="n">
        <v>169001</v>
      </c>
      <c r="R1260" s="17" t="n">
        <v>0</v>
      </c>
      <c r="S1260" s="17" t="n">
        <v>0</v>
      </c>
      <c r="T1260" s="17" t="n">
        <v>0</v>
      </c>
      <c r="U1260" s="18" t="n">
        <v>0</v>
      </c>
    </row>
    <row r="1261">
      <c r="A1261" s="13" t="n">
        <v>46300</v>
      </c>
      <c r="B1261" s="4">
        <f>TEXT(A1261,"ddd")</f>
        <v/>
      </c>
      <c r="C1261" s="14" t="n">
        <v>4144.15</v>
      </c>
      <c r="D1261" s="14" t="n">
        <v>4170.51</v>
      </c>
      <c r="E1261" s="14" t="n">
        <v>4122.9</v>
      </c>
      <c r="F1261" s="14" t="n">
        <v>4139.89</v>
      </c>
      <c r="G1261" s="9">
        <f>F1261-F1260</f>
        <v/>
      </c>
      <c r="H1261" s="10">
        <f>IF(F1260=0,0,G1261/F1260)</f>
        <v/>
      </c>
      <c r="I1261" s="8">
        <f>D1261-E1261</f>
        <v/>
      </c>
      <c r="J1261" s="4">
        <f>IF(F1261&gt;C1261,"Up",IF(F1261&lt;C1261,"Down","Flat"))</f>
        <v/>
      </c>
      <c r="K1261" s="14" t="n">
        <v>91.08</v>
      </c>
      <c r="L1261" s="15" t="n">
        <v>37.64</v>
      </c>
      <c r="M1261" s="14" t="n">
        <v>4261.64</v>
      </c>
      <c r="N1261" s="14" t="n">
        <v>4312.87</v>
      </c>
      <c r="O1261" s="14" t="n">
        <v>4323.44</v>
      </c>
      <c r="P1261" s="4">
        <f>IF(O1261="","",IF(F1261&gt;O1261,"Above","Below"))</f>
        <v/>
      </c>
      <c r="Q1261" s="16" t="n">
        <v>112195</v>
      </c>
      <c r="R1261" s="17" t="n">
        <v>0</v>
      </c>
      <c r="S1261" s="17" t="n">
        <v>0</v>
      </c>
      <c r="T1261" s="17" t="n">
        <v>0</v>
      </c>
      <c r="U1261" s="18" t="n">
        <v>0</v>
      </c>
    </row>
    <row r="1262">
      <c r="A1262" s="13" t="n">
        <v>46301</v>
      </c>
      <c r="B1262" s="4">
        <f>TEXT(A1262,"ddd")</f>
        <v/>
      </c>
      <c r="C1262" s="14" t="n">
        <v>4141.35</v>
      </c>
      <c r="D1262" s="14" t="n">
        <v>4184.46</v>
      </c>
      <c r="E1262" s="14" t="n">
        <v>4104.32</v>
      </c>
      <c r="F1262" s="14" t="n">
        <v>4164.35</v>
      </c>
      <c r="G1262" s="9">
        <f>F1262-F1261</f>
        <v/>
      </c>
      <c r="H1262" s="10">
        <f>IF(F1261=0,0,G1262/F1261)</f>
        <v/>
      </c>
      <c r="I1262" s="8">
        <f>D1262-E1262</f>
        <v/>
      </c>
      <c r="J1262" s="4">
        <f>IF(F1262&gt;C1262,"Up",IF(F1262&lt;C1262,"Down","Flat"))</f>
        <v/>
      </c>
      <c r="K1262" s="14" t="n">
        <v>90.3</v>
      </c>
      <c r="L1262" s="15" t="n">
        <v>40.15</v>
      </c>
      <c r="M1262" s="14" t="n">
        <v>4252.37</v>
      </c>
      <c r="N1262" s="14" t="n">
        <v>4307.05</v>
      </c>
      <c r="O1262" s="14" t="n">
        <v>4321.85</v>
      </c>
      <c r="P1262" s="4">
        <f>IF(O1262="","",IF(F1262&gt;O1262,"Above","Below"))</f>
        <v/>
      </c>
      <c r="Q1262" s="16" t="n">
        <v>121934</v>
      </c>
      <c r="R1262" s="17" t="n">
        <v>1</v>
      </c>
      <c r="S1262" s="17" t="n">
        <v>1</v>
      </c>
      <c r="T1262" s="17" t="n">
        <v>0</v>
      </c>
      <c r="U1262" s="18" t="n">
        <v>0.5</v>
      </c>
    </row>
    <row r="1263">
      <c r="A1263" s="13" t="n">
        <v>46302</v>
      </c>
      <c r="B1263" s="4">
        <f>TEXT(A1263,"ddd")</f>
        <v/>
      </c>
      <c r="C1263" s="14" t="n">
        <v>4164.65</v>
      </c>
      <c r="D1263" s="14" t="n">
        <v>4170.12</v>
      </c>
      <c r="E1263" s="14" t="n">
        <v>4066.06</v>
      </c>
      <c r="F1263" s="14" t="n">
        <v>4111.05</v>
      </c>
      <c r="G1263" s="9">
        <f>F1263-F1262</f>
        <v/>
      </c>
      <c r="H1263" s="10">
        <f>IF(F1262=0,0,G1263/F1262)</f>
        <v/>
      </c>
      <c r="I1263" s="8">
        <f>D1263-E1263</f>
        <v/>
      </c>
      <c r="J1263" s="4">
        <f>IF(F1263&gt;C1263,"Up",IF(F1263&lt;C1263,"Down","Flat"))</f>
        <v/>
      </c>
      <c r="K1263" s="14" t="n">
        <v>91.28</v>
      </c>
      <c r="L1263" s="15" t="n">
        <v>36.69</v>
      </c>
      <c r="M1263" s="14" t="n">
        <v>4238.91</v>
      </c>
      <c r="N1263" s="14" t="n">
        <v>4299.36</v>
      </c>
      <c r="O1263" s="14" t="n">
        <v>4319.76</v>
      </c>
      <c r="P1263" s="4">
        <f>IF(O1263="","",IF(F1263&gt;O1263,"Above","Below"))</f>
        <v/>
      </c>
      <c r="Q1263" s="16" t="n">
        <v>163894</v>
      </c>
      <c r="R1263" s="17" t="n">
        <v>3</v>
      </c>
      <c r="S1263" s="17" t="n">
        <v>1</v>
      </c>
      <c r="T1263" s="17" t="n">
        <v>2</v>
      </c>
      <c r="U1263" s="18" t="n">
        <v>-1.5</v>
      </c>
    </row>
    <row r="1264">
      <c r="A1264" s="13" t="n">
        <v>46303</v>
      </c>
      <c r="B1264" s="4">
        <f>TEXT(A1264,"ddd")</f>
        <v/>
      </c>
      <c r="C1264" s="14" t="n">
        <v>4110.4</v>
      </c>
      <c r="D1264" s="14" t="n">
        <v>4146.3</v>
      </c>
      <c r="E1264" s="14" t="n">
        <v>4103.13</v>
      </c>
      <c r="F1264" s="14" t="n">
        <v>4134.93</v>
      </c>
      <c r="G1264" s="9">
        <f>F1264-F1263</f>
        <v/>
      </c>
      <c r="H1264" s="10">
        <f>IF(F1263=0,0,G1264/F1263)</f>
        <v/>
      </c>
      <c r="I1264" s="8">
        <f>D1264-E1264</f>
        <v/>
      </c>
      <c r="J1264" s="4">
        <f>IF(F1264&gt;C1264,"Up",IF(F1264&lt;C1264,"Down","Flat"))</f>
        <v/>
      </c>
      <c r="K1264" s="14" t="n">
        <v>87.84999999999999</v>
      </c>
      <c r="L1264" s="15" t="n">
        <v>39.22</v>
      </c>
      <c r="M1264" s="14" t="n">
        <v>4229.01</v>
      </c>
      <c r="N1264" s="14" t="n">
        <v>4292.91</v>
      </c>
      <c r="O1264" s="14" t="n">
        <v>4317.92</v>
      </c>
      <c r="P1264" s="4">
        <f>IF(O1264="","",IF(F1264&gt;O1264,"Above","Below"))</f>
        <v/>
      </c>
      <c r="Q1264" s="16" t="n">
        <v>148432</v>
      </c>
      <c r="R1264" s="17" t="n">
        <v>0</v>
      </c>
      <c r="S1264" s="17" t="n">
        <v>0</v>
      </c>
      <c r="T1264" s="17" t="n">
        <v>0</v>
      </c>
      <c r="U1264" s="18" t="n">
        <v>0</v>
      </c>
    </row>
    <row r="1265">
      <c r="A1265" s="13" t="n">
        <v>46304</v>
      </c>
      <c r="B1265" s="4">
        <f>TEXT(A1265,"ddd")</f>
        <v/>
      </c>
      <c r="C1265" s="14" t="n">
        <v>4134.7</v>
      </c>
      <c r="D1265" s="14" t="n">
        <v>4207.69</v>
      </c>
      <c r="E1265" s="14" t="n">
        <v>4130.52</v>
      </c>
      <c r="F1265" s="14" t="n">
        <v>4194.46</v>
      </c>
      <c r="G1265" s="9">
        <f>F1265-F1264</f>
        <v/>
      </c>
      <c r="H1265" s="10">
        <f>IF(F1264=0,0,G1265/F1264)</f>
        <v/>
      </c>
      <c r="I1265" s="8">
        <f>D1265-E1265</f>
        <v/>
      </c>
      <c r="J1265" s="4">
        <f>IF(F1265&gt;C1265,"Up",IF(F1265&lt;C1265,"Down","Flat"))</f>
        <v/>
      </c>
      <c r="K1265" s="14" t="n">
        <v>87.09</v>
      </c>
      <c r="L1265" s="15" t="n">
        <v>45.11</v>
      </c>
      <c r="M1265" s="14" t="n">
        <v>4225.72</v>
      </c>
      <c r="N1265" s="14" t="n">
        <v>4289.05</v>
      </c>
      <c r="O1265" s="14" t="n">
        <v>4316.69</v>
      </c>
      <c r="P1265" s="4">
        <f>IF(O1265="","",IF(F1265&gt;O1265,"Above","Below"))</f>
        <v/>
      </c>
      <c r="Q1265" s="16" t="n">
        <v>134612</v>
      </c>
      <c r="R1265" s="17" t="n">
        <v>5</v>
      </c>
      <c r="S1265" s="17" t="n">
        <v>2</v>
      </c>
      <c r="T1265" s="17" t="n">
        <v>3</v>
      </c>
      <c r="U1265" s="18" t="n">
        <v>-2</v>
      </c>
    </row>
    <row r="1266">
      <c r="A1266" s="13" t="n">
        <v>46307</v>
      </c>
      <c r="B1266" s="4">
        <f>TEXT(A1266,"ddd")</f>
        <v/>
      </c>
      <c r="C1266" s="14" t="n">
        <v>4194.25</v>
      </c>
      <c r="D1266" s="14" t="n">
        <v>4217.47</v>
      </c>
      <c r="E1266" s="14" t="n">
        <v>4154.6</v>
      </c>
      <c r="F1266" s="14" t="n">
        <v>4171.69</v>
      </c>
      <c r="G1266" s="9">
        <f>F1266-F1265</f>
        <v/>
      </c>
      <c r="H1266" s="10">
        <f>IF(F1265=0,0,G1266/F1265)</f>
        <v/>
      </c>
      <c r="I1266" s="8">
        <f>D1266-E1266</f>
        <v/>
      </c>
      <c r="J1266" s="4">
        <f>IF(F1266&gt;C1266,"Up",IF(F1266&lt;C1266,"Down","Flat"))</f>
        <v/>
      </c>
      <c r="K1266" s="14" t="n">
        <v>85.36</v>
      </c>
      <c r="L1266" s="15" t="n">
        <v>43.37</v>
      </c>
      <c r="M1266" s="14" t="n">
        <v>4220.57</v>
      </c>
      <c r="N1266" s="14" t="n">
        <v>4284.45</v>
      </c>
      <c r="O1266" s="14" t="n">
        <v>4315.25</v>
      </c>
      <c r="P1266" s="4">
        <f>IF(O1266="","",IF(F1266&gt;O1266,"Above","Below"))</f>
        <v/>
      </c>
      <c r="Q1266" s="16" t="n">
        <v>102772</v>
      </c>
      <c r="R1266" s="17" t="n">
        <v>8</v>
      </c>
      <c r="S1266" s="17" t="n">
        <v>6</v>
      </c>
      <c r="T1266" s="17" t="n">
        <v>2</v>
      </c>
      <c r="U1266" s="18" t="n">
        <v>1</v>
      </c>
    </row>
    <row r="1267">
      <c r="A1267" s="13" t="n">
        <v>46308</v>
      </c>
      <c r="B1267" s="4">
        <f>TEXT(A1267,"ddd")</f>
        <v/>
      </c>
      <c r="C1267" s="14" t="n">
        <v>4171.69</v>
      </c>
      <c r="D1267" s="14" t="n">
        <v>4200.64</v>
      </c>
      <c r="E1267" s="14" t="n">
        <v>4147.01</v>
      </c>
      <c r="F1267" s="14" t="n">
        <v>4157.95</v>
      </c>
      <c r="G1267" s="9">
        <f>F1267-F1266</f>
        <v/>
      </c>
      <c r="H1267" s="10">
        <f>IF(F1266=0,0,G1267/F1266)</f>
        <v/>
      </c>
      <c r="I1267" s="8">
        <f>D1267-E1267</f>
        <v/>
      </c>
      <c r="J1267" s="4">
        <f>IF(F1267&gt;C1267,"Up",IF(F1267&lt;C1267,"Down","Flat"))</f>
        <v/>
      </c>
      <c r="K1267" s="14" t="n">
        <v>83.09</v>
      </c>
      <c r="L1267" s="15" t="n">
        <v>42.32</v>
      </c>
      <c r="M1267" s="14" t="n">
        <v>4214.61</v>
      </c>
      <c r="N1267" s="14" t="n">
        <v>4279.49</v>
      </c>
      <c r="O1267" s="14" t="n">
        <v>4313.68</v>
      </c>
      <c r="P1267" s="4">
        <f>IF(O1267="","",IF(F1267&gt;O1267,"Above","Below"))</f>
        <v/>
      </c>
      <c r="Q1267" s="16" t="n">
        <v>124779</v>
      </c>
      <c r="R1267" s="17" t="n">
        <v>2</v>
      </c>
      <c r="S1267" s="17" t="n">
        <v>0</v>
      </c>
      <c r="T1267" s="17" t="n">
        <v>2</v>
      </c>
      <c r="U1267" s="18" t="n">
        <v>-2</v>
      </c>
    </row>
    <row r="1268">
      <c r="A1268" s="13" t="n">
        <v>46309</v>
      </c>
      <c r="B1268" s="4">
        <f>TEXT(A1268,"ddd")</f>
        <v/>
      </c>
      <c r="C1268" s="14" t="n">
        <v>4161</v>
      </c>
      <c r="D1268" s="14" t="n">
        <v>4170.48</v>
      </c>
      <c r="E1268" s="14" t="n">
        <v>4073.44</v>
      </c>
      <c r="F1268" s="14" t="n">
        <v>4105.7</v>
      </c>
      <c r="G1268" s="9">
        <f>F1268-F1267</f>
        <v/>
      </c>
      <c r="H1268" s="10">
        <f>IF(F1267=0,0,G1268/F1267)</f>
        <v/>
      </c>
      <c r="I1268" s="8">
        <f>D1268-E1268</f>
        <v/>
      </c>
      <c r="J1268" s="4">
        <f>IF(F1268&gt;C1268,"Up",IF(F1268&lt;C1268,"Down","Flat"))</f>
        <v/>
      </c>
      <c r="K1268" s="14" t="n">
        <v>84.09</v>
      </c>
      <c r="L1268" s="15" t="n">
        <v>38.49</v>
      </c>
      <c r="M1268" s="14" t="n">
        <v>4204.24</v>
      </c>
      <c r="N1268" s="14" t="n">
        <v>4272.67</v>
      </c>
      <c r="O1268" s="14" t="n">
        <v>4311.61</v>
      </c>
      <c r="P1268" s="4">
        <f>IF(O1268="","",IF(F1268&gt;O1268,"Above","Below"))</f>
        <v/>
      </c>
      <c r="Q1268" s="16" t="n">
        <v>191279</v>
      </c>
      <c r="R1268" s="17" t="n">
        <v>5</v>
      </c>
      <c r="S1268" s="17" t="n">
        <v>3</v>
      </c>
      <c r="T1268" s="17" t="n">
        <v>2</v>
      </c>
      <c r="U1268" s="18" t="n">
        <v>-0.5</v>
      </c>
    </row>
    <row r="1269">
      <c r="A1269" s="13" t="n">
        <v>46310</v>
      </c>
      <c r="B1269" s="4">
        <f>TEXT(A1269,"ddd")</f>
        <v/>
      </c>
      <c r="C1269" s="14" t="n">
        <v>4105.2</v>
      </c>
      <c r="D1269" s="14" t="n">
        <v>4177.59</v>
      </c>
      <c r="E1269" s="14" t="n">
        <v>4099.77</v>
      </c>
      <c r="F1269" s="14" t="n">
        <v>4156.11</v>
      </c>
      <c r="G1269" s="9">
        <f>F1269-F1268</f>
        <v/>
      </c>
      <c r="H1269" s="10">
        <f>IF(F1268=0,0,G1269/F1268)</f>
        <v/>
      </c>
      <c r="I1269" s="8">
        <f>D1269-E1269</f>
        <v/>
      </c>
      <c r="J1269" s="4">
        <f>IF(F1269&gt;C1269,"Up",IF(F1269&lt;C1269,"Down","Flat"))</f>
        <v/>
      </c>
      <c r="K1269" s="14" t="n">
        <v>83.64</v>
      </c>
      <c r="L1269" s="15" t="n">
        <v>43.78</v>
      </c>
      <c r="M1269" s="14" t="n">
        <v>4199.65</v>
      </c>
      <c r="N1269" s="14" t="n">
        <v>4268.1</v>
      </c>
      <c r="O1269" s="14" t="n">
        <v>4310.06</v>
      </c>
      <c r="P1269" s="4">
        <f>IF(O1269="","",IF(F1269&gt;O1269,"Above","Below"))</f>
        <v/>
      </c>
      <c r="Q1269" s="16" t="n">
        <v>159510</v>
      </c>
      <c r="R1269" s="17" t="n">
        <v>1</v>
      </c>
      <c r="S1269" s="17" t="n">
        <v>0</v>
      </c>
      <c r="T1269" s="17" t="n">
        <v>1</v>
      </c>
      <c r="U1269" s="18" t="n">
        <v>0</v>
      </c>
    </row>
    <row r="1270">
      <c r="A1270" s="13" t="n">
        <v>46311</v>
      </c>
      <c r="B1270" s="4">
        <f>TEXT(A1270,"ddd")</f>
        <v/>
      </c>
      <c r="C1270" s="14" t="n">
        <v>4155.78</v>
      </c>
      <c r="D1270" s="14" t="n">
        <v>4198.62</v>
      </c>
      <c r="E1270" s="14" t="n">
        <v>4147.39</v>
      </c>
      <c r="F1270" s="14" t="n">
        <v>4168.17</v>
      </c>
      <c r="G1270" s="9">
        <f>F1270-F1269</f>
        <v/>
      </c>
      <c r="H1270" s="10">
        <f>IF(F1269=0,0,G1270/F1269)</f>
        <v/>
      </c>
      <c r="I1270" s="8">
        <f>D1270-E1270</f>
        <v/>
      </c>
      <c r="J1270" s="4">
        <f>IF(F1270&gt;C1270,"Up",IF(F1270&lt;C1270,"Down","Flat"))</f>
        <v/>
      </c>
      <c r="K1270" s="14" t="n">
        <v>81.31999999999999</v>
      </c>
      <c r="L1270" s="15" t="n">
        <v>45</v>
      </c>
      <c r="M1270" s="14" t="n">
        <v>4196.65</v>
      </c>
      <c r="N1270" s="14" t="n">
        <v>4264.18</v>
      </c>
      <c r="O1270" s="14" t="n">
        <v>4308.65</v>
      </c>
      <c r="P1270" s="4">
        <f>IF(O1270="","",IF(F1270&gt;O1270,"Above","Below"))</f>
        <v/>
      </c>
      <c r="Q1270" s="16" t="n">
        <v>137939</v>
      </c>
      <c r="R1270" s="17" t="n">
        <v>0</v>
      </c>
      <c r="S1270" s="17" t="n">
        <v>0</v>
      </c>
      <c r="T1270" s="17" t="n">
        <v>0</v>
      </c>
      <c r="U1270" s="18" t="n">
        <v>0</v>
      </c>
    </row>
    <row r="1271">
      <c r="A1271" s="13" t="n">
        <v>46314</v>
      </c>
      <c r="B1271" s="4">
        <f>TEXT(A1271,"ddd")</f>
        <v/>
      </c>
      <c r="C1271" s="14" t="n">
        <v>4165.5</v>
      </c>
      <c r="D1271" s="14" t="n">
        <v>4190.13</v>
      </c>
      <c r="E1271" s="14" t="n">
        <v>4137</v>
      </c>
      <c r="F1271" s="14" t="n">
        <v>4141.53</v>
      </c>
      <c r="G1271" s="9">
        <f>F1271-F1270</f>
        <v/>
      </c>
      <c r="H1271" s="10">
        <f>IF(F1270=0,0,G1271/F1270)</f>
        <v/>
      </c>
      <c r="I1271" s="8">
        <f>D1271-E1271</f>
        <v/>
      </c>
      <c r="J1271" s="4">
        <f>IF(F1271&gt;C1271,"Up",IF(F1271&lt;C1271,"Down","Flat"))</f>
        <v/>
      </c>
      <c r="K1271" s="14" t="n">
        <v>79.31</v>
      </c>
      <c r="L1271" s="15" t="n">
        <v>42.79</v>
      </c>
      <c r="M1271" s="14" t="n">
        <v>4191.4</v>
      </c>
      <c r="N1271" s="14" t="n">
        <v>4259.37</v>
      </c>
      <c r="O1271" s="14" t="n">
        <v>4306.99</v>
      </c>
      <c r="P1271" s="4">
        <f>IF(O1271="","",IF(F1271&gt;O1271,"Above","Below"))</f>
        <v/>
      </c>
      <c r="Q1271" s="16" t="n">
        <v>123741</v>
      </c>
      <c r="R1271" s="17" t="n">
        <v>4</v>
      </c>
      <c r="S1271" s="17" t="n">
        <v>1</v>
      </c>
      <c r="T1271" s="17" t="n">
        <v>3</v>
      </c>
      <c r="U1271" s="18" t="n">
        <v>-1</v>
      </c>
    </row>
    <row r="1272">
      <c r="A1272" s="13" t="n">
        <v>46315</v>
      </c>
      <c r="B1272" s="4">
        <f>TEXT(A1272,"ddd")</f>
        <v/>
      </c>
      <c r="C1272" s="14" t="n">
        <v>4141.76</v>
      </c>
      <c r="D1272" s="14" t="n">
        <v>4155.9</v>
      </c>
      <c r="E1272" s="14" t="n">
        <v>4111.84</v>
      </c>
      <c r="F1272" s="14" t="n">
        <v>4120.8</v>
      </c>
      <c r="G1272" s="9">
        <f>F1272-F1271</f>
        <v/>
      </c>
      <c r="H1272" s="10">
        <f>IF(F1271=0,0,G1272/F1271)</f>
        <v/>
      </c>
      <c r="I1272" s="8">
        <f>D1272-E1272</f>
        <v/>
      </c>
      <c r="J1272" s="4">
        <f>IF(F1272&gt;C1272,"Up",IF(F1272&lt;C1272,"Down","Flat"))</f>
        <v/>
      </c>
      <c r="K1272" s="14" t="n">
        <v>76.79000000000001</v>
      </c>
      <c r="L1272" s="15" t="n">
        <v>41.1</v>
      </c>
      <c r="M1272" s="14" t="n">
        <v>4184.68</v>
      </c>
      <c r="N1272" s="14" t="n">
        <v>4253.94</v>
      </c>
      <c r="O1272" s="14" t="n">
        <v>4305.14</v>
      </c>
      <c r="P1272" s="4">
        <f>IF(O1272="","",IF(F1272&gt;O1272,"Above","Below"))</f>
        <v/>
      </c>
      <c r="Q1272" s="16" t="n">
        <v>161101</v>
      </c>
      <c r="R1272" s="17" t="n">
        <v>3</v>
      </c>
      <c r="S1272" s="17" t="n">
        <v>0</v>
      </c>
      <c r="T1272" s="17" t="n">
        <v>3</v>
      </c>
      <c r="U1272" s="18" t="n">
        <v>-1</v>
      </c>
    </row>
    <row r="1273">
      <c r="A1273" s="13" t="n">
        <v>46316</v>
      </c>
      <c r="B1273" s="4">
        <f>TEXT(A1273,"ddd")</f>
        <v/>
      </c>
      <c r="C1273" s="14" t="n">
        <v>4120.72</v>
      </c>
      <c r="D1273" s="14" t="n">
        <v>4142.03</v>
      </c>
      <c r="E1273" s="14" t="n">
        <v>4106.88</v>
      </c>
      <c r="F1273" s="14" t="n">
        <v>4134.54</v>
      </c>
      <c r="G1273" s="9">
        <f>F1273-F1272</f>
        <v/>
      </c>
      <c r="H1273" s="10">
        <f>IF(F1272=0,0,G1273/F1272)</f>
        <v/>
      </c>
      <c r="I1273" s="8">
        <f>D1273-E1273</f>
        <v/>
      </c>
      <c r="J1273" s="4">
        <f>IF(F1273&gt;C1273,"Up",IF(F1273&lt;C1273,"Down","Flat"))</f>
        <v/>
      </c>
      <c r="K1273" s="14" t="n">
        <v>73.81999999999999</v>
      </c>
      <c r="L1273" s="15" t="n">
        <v>42.72</v>
      </c>
      <c r="M1273" s="14" t="n">
        <v>4179.9</v>
      </c>
      <c r="N1273" s="14" t="n">
        <v>4249.26</v>
      </c>
      <c r="O1273" s="14" t="n">
        <v>4303.44</v>
      </c>
      <c r="P1273" s="4">
        <f>IF(O1273="","",IF(F1273&gt;O1273,"Above","Below"))</f>
        <v/>
      </c>
      <c r="Q1273" s="16" t="n">
        <v>149523</v>
      </c>
      <c r="R1273" s="17" t="n">
        <v>2</v>
      </c>
      <c r="S1273" s="17" t="n">
        <v>0</v>
      </c>
      <c r="T1273" s="17" t="n">
        <v>2</v>
      </c>
      <c r="U1273" s="18" t="n">
        <v>-1</v>
      </c>
    </row>
    <row r="1274">
      <c r="A1274" s="13" t="n">
        <v>46317</v>
      </c>
      <c r="B1274" s="4">
        <f>TEXT(A1274,"ddd")</f>
        <v/>
      </c>
      <c r="C1274" s="14" t="n">
        <v>4134.23</v>
      </c>
      <c r="D1274" s="14" t="n">
        <v>4142.67</v>
      </c>
      <c r="E1274" s="14" t="n">
        <v>4020.92</v>
      </c>
      <c r="F1274" s="14" t="n">
        <v>4026.14</v>
      </c>
      <c r="G1274" s="9">
        <f>F1274-F1273</f>
        <v/>
      </c>
      <c r="H1274" s="10">
        <f>IF(F1273=0,0,G1274/F1273)</f>
        <v/>
      </c>
      <c r="I1274" s="8">
        <f>D1274-E1274</f>
        <v/>
      </c>
      <c r="J1274" s="4">
        <f>IF(F1274&gt;C1274,"Up",IF(F1274&lt;C1274,"Down","Flat"))</f>
        <v/>
      </c>
      <c r="K1274" s="14" t="n">
        <v>77.23999999999999</v>
      </c>
      <c r="L1274" s="15" t="n">
        <v>34.65</v>
      </c>
      <c r="M1274" s="14" t="n">
        <v>4165.26</v>
      </c>
      <c r="N1274" s="14" t="n">
        <v>4240.51</v>
      </c>
      <c r="O1274" s="14" t="n">
        <v>4300.68</v>
      </c>
      <c r="P1274" s="4">
        <f>IF(O1274="","",IF(F1274&gt;O1274,"Above","Below"))</f>
        <v/>
      </c>
      <c r="Q1274" s="16" t="n">
        <v>214607</v>
      </c>
      <c r="R1274" s="17" t="n">
        <v>5</v>
      </c>
      <c r="S1274" s="17" t="n">
        <v>3</v>
      </c>
      <c r="T1274" s="17" t="n">
        <v>2</v>
      </c>
      <c r="U1274" s="18" t="n">
        <v>3</v>
      </c>
    </row>
    <row r="1275">
      <c r="A1275" s="13" t="n">
        <v>46318</v>
      </c>
      <c r="B1275" s="4">
        <f>TEXT(A1275,"ddd")</f>
        <v/>
      </c>
      <c r="C1275" s="14" t="n">
        <v>4026.45</v>
      </c>
      <c r="D1275" s="14" t="n">
        <v>4034.68</v>
      </c>
      <c r="E1275" s="14" t="n">
        <v>3975.83</v>
      </c>
      <c r="F1275" s="14" t="n">
        <v>4000.88</v>
      </c>
      <c r="G1275" s="9">
        <f>F1275-F1274</f>
        <v/>
      </c>
      <c r="H1275" s="10">
        <f>IF(F1274=0,0,G1275/F1274)</f>
        <v/>
      </c>
      <c r="I1275" s="8">
        <f>D1275-E1275</f>
        <v/>
      </c>
      <c r="J1275" s="4">
        <f>IF(F1275&gt;C1275,"Up",IF(F1275&lt;C1275,"Down","Flat"))</f>
        <v/>
      </c>
      <c r="K1275" s="14" t="n">
        <v>75.93000000000001</v>
      </c>
      <c r="L1275" s="15" t="n">
        <v>33.08</v>
      </c>
      <c r="M1275" s="14" t="n">
        <v>4149.61</v>
      </c>
      <c r="N1275" s="14" t="n">
        <v>4231.11</v>
      </c>
      <c r="O1275" s="14" t="n">
        <v>4297.7</v>
      </c>
      <c r="P1275" s="4">
        <f>IF(O1275="","",IF(F1275&gt;O1275,"Above","Below"))</f>
        <v/>
      </c>
      <c r="Q1275" s="16" t="n">
        <v>180320</v>
      </c>
      <c r="R1275" s="17" t="n">
        <v>2</v>
      </c>
      <c r="S1275" s="17" t="n">
        <v>0</v>
      </c>
      <c r="T1275" s="17" t="n">
        <v>2</v>
      </c>
      <c r="U1275" s="18" t="n">
        <v>-2</v>
      </c>
    </row>
    <row r="1276">
      <c r="A1276" s="13" t="n">
        <v>46321</v>
      </c>
      <c r="B1276" s="4">
        <f>TEXT(A1276,"ddd")</f>
        <v/>
      </c>
      <c r="C1276" s="14" t="n">
        <v>3993.57</v>
      </c>
      <c r="D1276" s="14" t="n">
        <v>4029.98</v>
      </c>
      <c r="E1276" s="14" t="n">
        <v>3977.58</v>
      </c>
      <c r="F1276" s="14" t="n">
        <v>4013.44</v>
      </c>
      <c r="G1276" s="9">
        <f>F1276-F1275</f>
        <v/>
      </c>
      <c r="H1276" s="10">
        <f>IF(F1275=0,0,G1276/F1275)</f>
        <v/>
      </c>
      <c r="I1276" s="8">
        <f>D1276-E1276</f>
        <v/>
      </c>
      <c r="J1276" s="4">
        <f>IF(F1276&gt;C1276,"Up",IF(F1276&lt;C1276,"Down","Flat"))</f>
        <v/>
      </c>
      <c r="K1276" s="14" t="n">
        <v>74.25</v>
      </c>
      <c r="L1276" s="15" t="n">
        <v>34.66</v>
      </c>
      <c r="M1276" s="14" t="n">
        <v>4136.64</v>
      </c>
      <c r="N1276" s="14" t="n">
        <v>4222.57</v>
      </c>
      <c r="O1276" s="14" t="n">
        <v>4294.87</v>
      </c>
      <c r="P1276" s="4">
        <f>IF(O1276="","",IF(F1276&gt;O1276,"Above","Below"))</f>
        <v/>
      </c>
      <c r="Q1276" s="16" t="n">
        <v>126007</v>
      </c>
      <c r="R1276" s="17" t="n">
        <v>0</v>
      </c>
      <c r="S1276" s="17" t="n">
        <v>0</v>
      </c>
      <c r="T1276" s="17" t="n">
        <v>0</v>
      </c>
      <c r="U1276" s="18" t="n">
        <v>0</v>
      </c>
    </row>
    <row r="1277">
      <c r="A1277" s="13" t="n">
        <v>46322</v>
      </c>
      <c r="B1277" s="4">
        <f>TEXT(A1277,"ddd")</f>
        <v/>
      </c>
      <c r="C1277" s="14" t="n">
        <v>4013.57</v>
      </c>
      <c r="D1277" s="14" t="n">
        <v>4065.54</v>
      </c>
      <c r="E1277" s="14" t="n">
        <v>3988.99</v>
      </c>
      <c r="F1277" s="14" t="n">
        <v>4062.29</v>
      </c>
      <c r="G1277" s="9">
        <f>F1277-F1276</f>
        <v/>
      </c>
      <c r="H1277" s="10">
        <f>IF(F1276=0,0,G1277/F1276)</f>
        <v/>
      </c>
      <c r="I1277" s="8">
        <f>D1277-E1277</f>
        <v/>
      </c>
      <c r="J1277" s="4">
        <f>IF(F1277&gt;C1277,"Up",IF(F1277&lt;C1277,"Down","Flat"))</f>
        <v/>
      </c>
      <c r="K1277" s="14" t="n">
        <v>74.41</v>
      </c>
      <c r="L1277" s="15" t="n">
        <v>40.55</v>
      </c>
      <c r="M1277" s="14" t="n">
        <v>4129.56</v>
      </c>
      <c r="N1277" s="14" t="n">
        <v>4216.29</v>
      </c>
      <c r="O1277" s="14" t="n">
        <v>4292.55</v>
      </c>
      <c r="P1277" s="4">
        <f>IF(O1277="","",IF(F1277&gt;O1277,"Above","Below"))</f>
        <v/>
      </c>
      <c r="Q1277" s="16" t="n">
        <v>126007</v>
      </c>
      <c r="R1277" s="17" t="n">
        <v>0</v>
      </c>
      <c r="S1277" s="17" t="n">
        <v>0</v>
      </c>
      <c r="T1277" s="17" t="n">
        <v>0</v>
      </c>
      <c r="U1277" s="18" t="n">
        <v>0</v>
      </c>
    </row>
    <row r="1278">
      <c r="A1278" s="13" t="n">
        <v>46323</v>
      </c>
      <c r="B1278" s="4">
        <f>TEXT(A1278,"ddd")</f>
        <v/>
      </c>
      <c r="C1278" s="14" t="n">
        <v>4061.98</v>
      </c>
      <c r="D1278" s="14" t="n">
        <v>4070.81</v>
      </c>
      <c r="E1278" s="14" t="n">
        <v>4028.01</v>
      </c>
      <c r="F1278" s="14" t="n">
        <v>4070.21</v>
      </c>
      <c r="G1278" s="9">
        <f>F1278-F1277</f>
        <v/>
      </c>
      <c r="H1278" s="10">
        <f>IF(F1277=0,0,G1278/F1277)</f>
        <v/>
      </c>
      <c r="I1278" s="8">
        <f>D1278-E1278</f>
        <v/>
      </c>
      <c r="J1278" s="4">
        <f>IF(F1278&gt;C1278,"Up",IF(F1278&lt;C1278,"Down","Flat"))</f>
        <v/>
      </c>
      <c r="K1278" s="14" t="n">
        <v>72.15000000000001</v>
      </c>
      <c r="L1278" s="15" t="n">
        <v>41.47</v>
      </c>
      <c r="M1278" s="14" t="n">
        <v>4123.9</v>
      </c>
      <c r="N1278" s="14" t="n">
        <v>4210.56</v>
      </c>
      <c r="O1278" s="14" t="n">
        <v>4290.34</v>
      </c>
      <c r="P1278" s="4">
        <f>IF(O1278="","",IF(F1278&gt;O1278,"Above","Below"))</f>
        <v/>
      </c>
      <c r="Q1278" s="16" t="n">
        <v>15034</v>
      </c>
      <c r="R1278" s="17" t="n">
        <v>1</v>
      </c>
      <c r="S1278" s="17" t="n">
        <v>0</v>
      </c>
      <c r="T1278" s="17" t="n">
        <v>1</v>
      </c>
      <c r="U1278" s="18" t="n">
        <v>0</v>
      </c>
    </row>
    <row r="1279">
      <c r="A1279" s="13" t="n">
        <v>46324</v>
      </c>
      <c r="B1279" s="4">
        <f>TEXT(A1279,"ddd")</f>
        <v/>
      </c>
      <c r="C1279" s="14" t="n">
        <v>4068.99</v>
      </c>
      <c r="D1279" s="14" t="n">
        <v>4081.97</v>
      </c>
      <c r="E1279" s="14" t="n">
        <v>4036.49</v>
      </c>
      <c r="F1279" s="14" t="n">
        <v>4059.14</v>
      </c>
      <c r="G1279" s="9">
        <f>F1279-F1278</f>
        <v/>
      </c>
      <c r="H1279" s="10">
        <f>IF(F1278=0,0,G1279/F1278)</f>
        <v/>
      </c>
      <c r="I1279" s="8">
        <f>D1279-E1279</f>
        <v/>
      </c>
      <c r="J1279" s="4">
        <f>IF(F1279&gt;C1279,"Up",IF(F1279&lt;C1279,"Down","Flat"))</f>
        <v/>
      </c>
      <c r="K1279" s="14" t="n">
        <v>70.25</v>
      </c>
      <c r="L1279" s="15" t="n">
        <v>40.53</v>
      </c>
      <c r="M1279" s="14" t="n">
        <v>4117.74</v>
      </c>
      <c r="N1279" s="14" t="n">
        <v>4204.62</v>
      </c>
      <c r="O1279" s="14" t="n">
        <v>4288.04</v>
      </c>
      <c r="P1279" s="4">
        <f>IF(O1279="","",IF(F1279&gt;O1279,"Above","Below"))</f>
        <v/>
      </c>
      <c r="Q1279" s="16" t="n"/>
      <c r="R1279" s="17" t="n">
        <v>0</v>
      </c>
      <c r="S1279" s="17" t="n">
        <v>0</v>
      </c>
      <c r="T1279" s="17" t="n">
        <v>0</v>
      </c>
      <c r="U1279" s="18" t="n">
        <v>0</v>
      </c>
    </row>
  </sheetData>
  <autoFilter ref="A1:U1279"/>
  <conditionalFormatting sqref="G2:H127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1279">
    <cfRule type="expression" priority="3" dxfId="0">
      <formula>J2="Up"</formula>
    </cfRule>
    <cfRule type="expression" priority="4" dxfId="1">
      <formula>J2="Down"</formula>
    </cfRule>
  </conditionalFormatting>
  <conditionalFormatting sqref="U2:U1279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8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30" customHeight="1">
      <c r="A1" s="3" t="inlineStr">
        <is>
          <t>Month</t>
        </is>
      </c>
      <c r="B1" s="3" t="inlineStr">
        <is>
          <t>Open ($)</t>
        </is>
      </c>
      <c r="C1" s="3" t="inlineStr">
        <is>
          <t>High ($)</t>
        </is>
      </c>
      <c r="D1" s="3" t="inlineStr">
        <is>
          <t>Low ($)</t>
        </is>
      </c>
      <c r="E1" s="3" t="inlineStr">
        <is>
          <t>Close ($)</t>
        </is>
      </c>
      <c r="F1" s="3" t="inlineStr">
        <is>
          <t>Change (%)</t>
        </is>
      </c>
      <c r="G1" s="3" t="inlineStr">
        <is>
          <t>Avg daily range ($)</t>
        </is>
      </c>
      <c r="H1" s="3" t="inlineStr">
        <is>
          <t>Up days</t>
        </is>
      </c>
      <c r="I1" s="3" t="inlineStr">
        <is>
          <t>Down days</t>
        </is>
      </c>
      <c r="J1" s="3" t="inlineStr">
        <is>
          <t>Trading days</t>
        </is>
      </c>
      <c r="K1" s="3" t="inlineStr">
        <is>
          <t>Signals</t>
        </is>
      </c>
      <c r="L1" s="3" t="inlineStr">
        <is>
          <t>Net R</t>
        </is>
      </c>
    </row>
    <row r="2">
      <c r="A2" s="19" t="n">
        <v>44470</v>
      </c>
      <c r="B2" s="8">
        <f>'Daily log'!C2</f>
        <v/>
      </c>
      <c r="C2" s="8">
        <f>_xlfn.MAXIFS('Daily log'!D:D,'Daily log'!A:A,"&gt;="&amp;A2,'Daily log'!A:A,"&lt;"&amp;EDATE(A2,1))</f>
        <v/>
      </c>
      <c r="D2" s="8">
        <f>_xlfn.MINIFS('Daily log'!E:E,'Daily log'!A:A,"&gt;="&amp;A2,'Daily log'!A:A,"&lt;"&amp;EDATE(A2,1))</f>
        <v/>
      </c>
      <c r="E2" s="8">
        <f>INDEX('Daily log'!$F$2:$F$100000,MATCH(EDATE(A2,1)-1,'Daily log'!$A$2:$A$100000,1))</f>
        <v/>
      </c>
      <c r="F2" s="10">
        <f>E2/B2-1</f>
        <v/>
      </c>
      <c r="G2" s="8">
        <f>IFERROR(AVERAGEIFS('Daily log'!I:I,'Daily log'!A:A,"&gt;="&amp;A2,'Daily log'!A:A,"&lt;"&amp;EDATE(A2,1)),"")</f>
        <v/>
      </c>
      <c r="H2" s="5">
        <f>COUNTIFS('Daily log'!A:A,"&gt;="&amp;A2,'Daily log'!A:A,"&lt;"&amp;EDATE(A2,1),'Daily log'!J:J,"Up")</f>
        <v/>
      </c>
      <c r="I2" s="5">
        <f>COUNTIFS('Daily log'!A:A,"&gt;="&amp;A2,'Daily log'!A:A,"&lt;"&amp;EDATE(A2,1),'Daily log'!J:J,"Down")</f>
        <v/>
      </c>
      <c r="J2" s="5">
        <f>COUNTIFS('Daily log'!A:A,"&gt;="&amp;A2,'Daily log'!A:A,"&lt;"&amp;EDATE(A2,1))</f>
        <v/>
      </c>
      <c r="K2" s="5">
        <f>SUMIFS('Daily log'!R:R,'Daily log'!A:A,"&gt;="&amp;A2,'Daily log'!A:A,"&lt;"&amp;EDATE(A2,1))</f>
        <v/>
      </c>
      <c r="L2" s="9">
        <f>SUMIFS('Daily log'!U:U,'Daily log'!A:A,"&gt;="&amp;A2,'Daily log'!A:A,"&lt;"&amp;EDATE(A2,1))</f>
        <v/>
      </c>
    </row>
    <row r="3">
      <c r="A3" s="19" t="n">
        <v>44501</v>
      </c>
      <c r="B3" s="8">
        <f>INDEX('Daily log'!$C$2:$C$100000,MATCH(A3-1,'Daily log'!$A$2:$A$100000,1)+1)</f>
        <v/>
      </c>
      <c r="C3" s="8">
        <f>_xlfn.MAXIFS('Daily log'!D:D,'Daily log'!A:A,"&gt;="&amp;A3,'Daily log'!A:A,"&lt;"&amp;EDATE(A3,1))</f>
        <v/>
      </c>
      <c r="D3" s="8">
        <f>_xlfn.MINIFS('Daily log'!E:E,'Daily log'!A:A,"&gt;="&amp;A3,'Daily log'!A:A,"&lt;"&amp;EDATE(A3,1))</f>
        <v/>
      </c>
      <c r="E3" s="8">
        <f>INDEX('Daily log'!$F$2:$F$100000,MATCH(EDATE(A3,1)-1,'Daily log'!$A$2:$A$100000,1))</f>
        <v/>
      </c>
      <c r="F3" s="10">
        <f>IFERROR(E3/E2-1,E3/B3-1)</f>
        <v/>
      </c>
      <c r="G3" s="8">
        <f>IFERROR(AVERAGEIFS('Daily log'!I:I,'Daily log'!A:A,"&gt;="&amp;A3,'Daily log'!A:A,"&lt;"&amp;EDATE(A3,1)),"")</f>
        <v/>
      </c>
      <c r="H3" s="5">
        <f>COUNTIFS('Daily log'!A:A,"&gt;="&amp;A3,'Daily log'!A:A,"&lt;"&amp;EDATE(A3,1),'Daily log'!J:J,"Up")</f>
        <v/>
      </c>
      <c r="I3" s="5">
        <f>COUNTIFS('Daily log'!A:A,"&gt;="&amp;A3,'Daily log'!A:A,"&lt;"&amp;EDATE(A3,1),'Daily log'!J:J,"Down")</f>
        <v/>
      </c>
      <c r="J3" s="5">
        <f>COUNTIFS('Daily log'!A:A,"&gt;="&amp;A3,'Daily log'!A:A,"&lt;"&amp;EDATE(A3,1))</f>
        <v/>
      </c>
      <c r="K3" s="5">
        <f>SUMIFS('Daily log'!R:R,'Daily log'!A:A,"&gt;="&amp;A3,'Daily log'!A:A,"&lt;"&amp;EDATE(A3,1))</f>
        <v/>
      </c>
      <c r="L3" s="9">
        <f>SUMIFS('Daily log'!U:U,'Daily log'!A:A,"&gt;="&amp;A3,'Daily log'!A:A,"&lt;"&amp;EDATE(A3,1))</f>
        <v/>
      </c>
    </row>
    <row r="4">
      <c r="A4" s="19" t="n">
        <v>44531</v>
      </c>
      <c r="B4" s="8">
        <f>INDEX('Daily log'!$C$2:$C$100000,MATCH(A4-1,'Daily log'!$A$2:$A$100000,1)+1)</f>
        <v/>
      </c>
      <c r="C4" s="8">
        <f>_xlfn.MAXIFS('Daily log'!D:D,'Daily log'!A:A,"&gt;="&amp;A4,'Daily log'!A:A,"&lt;"&amp;EDATE(A4,1))</f>
        <v/>
      </c>
      <c r="D4" s="8">
        <f>_xlfn.MINIFS('Daily log'!E:E,'Daily log'!A:A,"&gt;="&amp;A4,'Daily log'!A:A,"&lt;"&amp;EDATE(A4,1))</f>
        <v/>
      </c>
      <c r="E4" s="8">
        <f>INDEX('Daily log'!$F$2:$F$100000,MATCH(EDATE(A4,1)-1,'Daily log'!$A$2:$A$100000,1))</f>
        <v/>
      </c>
      <c r="F4" s="10">
        <f>IFERROR(E4/E3-1,E4/B4-1)</f>
        <v/>
      </c>
      <c r="G4" s="8">
        <f>IFERROR(AVERAGEIFS('Daily log'!I:I,'Daily log'!A:A,"&gt;="&amp;A4,'Daily log'!A:A,"&lt;"&amp;EDATE(A4,1)),"")</f>
        <v/>
      </c>
      <c r="H4" s="5">
        <f>COUNTIFS('Daily log'!A:A,"&gt;="&amp;A4,'Daily log'!A:A,"&lt;"&amp;EDATE(A4,1),'Daily log'!J:J,"Up")</f>
        <v/>
      </c>
      <c r="I4" s="5">
        <f>COUNTIFS('Daily log'!A:A,"&gt;="&amp;A4,'Daily log'!A:A,"&lt;"&amp;EDATE(A4,1),'Daily log'!J:J,"Down")</f>
        <v/>
      </c>
      <c r="J4" s="5">
        <f>COUNTIFS('Daily log'!A:A,"&gt;="&amp;A4,'Daily log'!A:A,"&lt;"&amp;EDATE(A4,1))</f>
        <v/>
      </c>
      <c r="K4" s="5">
        <f>SUMIFS('Daily log'!R:R,'Daily log'!A:A,"&gt;="&amp;A4,'Daily log'!A:A,"&lt;"&amp;EDATE(A4,1))</f>
        <v/>
      </c>
      <c r="L4" s="9">
        <f>SUMIFS('Daily log'!U:U,'Daily log'!A:A,"&gt;="&amp;A4,'Daily log'!A:A,"&lt;"&amp;EDATE(A4,1))</f>
        <v/>
      </c>
    </row>
    <row r="5">
      <c r="A5" s="19" t="n">
        <v>44562</v>
      </c>
      <c r="B5" s="8">
        <f>INDEX('Daily log'!$C$2:$C$100000,MATCH(A5-1,'Daily log'!$A$2:$A$100000,1)+1)</f>
        <v/>
      </c>
      <c r="C5" s="8">
        <f>_xlfn.MAXIFS('Daily log'!D:D,'Daily log'!A:A,"&gt;="&amp;A5,'Daily log'!A:A,"&lt;"&amp;EDATE(A5,1))</f>
        <v/>
      </c>
      <c r="D5" s="8">
        <f>_xlfn.MINIFS('Daily log'!E:E,'Daily log'!A:A,"&gt;="&amp;A5,'Daily log'!A:A,"&lt;"&amp;EDATE(A5,1))</f>
        <v/>
      </c>
      <c r="E5" s="8">
        <f>INDEX('Daily log'!$F$2:$F$100000,MATCH(EDATE(A5,1)-1,'Daily log'!$A$2:$A$100000,1))</f>
        <v/>
      </c>
      <c r="F5" s="10">
        <f>IFERROR(E5/E4-1,E5/B5-1)</f>
        <v/>
      </c>
      <c r="G5" s="8">
        <f>IFERROR(AVERAGEIFS('Daily log'!I:I,'Daily log'!A:A,"&gt;="&amp;A5,'Daily log'!A:A,"&lt;"&amp;EDATE(A5,1)),"")</f>
        <v/>
      </c>
      <c r="H5" s="5">
        <f>COUNTIFS('Daily log'!A:A,"&gt;="&amp;A5,'Daily log'!A:A,"&lt;"&amp;EDATE(A5,1),'Daily log'!J:J,"Up")</f>
        <v/>
      </c>
      <c r="I5" s="5">
        <f>COUNTIFS('Daily log'!A:A,"&gt;="&amp;A5,'Daily log'!A:A,"&lt;"&amp;EDATE(A5,1),'Daily log'!J:J,"Down")</f>
        <v/>
      </c>
      <c r="J5" s="5">
        <f>COUNTIFS('Daily log'!A:A,"&gt;="&amp;A5,'Daily log'!A:A,"&lt;"&amp;EDATE(A5,1))</f>
        <v/>
      </c>
      <c r="K5" s="5">
        <f>SUMIFS('Daily log'!R:R,'Daily log'!A:A,"&gt;="&amp;A5,'Daily log'!A:A,"&lt;"&amp;EDATE(A5,1))</f>
        <v/>
      </c>
      <c r="L5" s="9">
        <f>SUMIFS('Daily log'!U:U,'Daily log'!A:A,"&gt;="&amp;A5,'Daily log'!A:A,"&lt;"&amp;EDATE(A5,1))</f>
        <v/>
      </c>
    </row>
    <row r="6">
      <c r="A6" s="19" t="n">
        <v>44593</v>
      </c>
      <c r="B6" s="8">
        <f>INDEX('Daily log'!$C$2:$C$100000,MATCH(A6-1,'Daily log'!$A$2:$A$100000,1)+1)</f>
        <v/>
      </c>
      <c r="C6" s="8">
        <f>_xlfn.MAXIFS('Daily log'!D:D,'Daily log'!A:A,"&gt;="&amp;A6,'Daily log'!A:A,"&lt;"&amp;EDATE(A6,1))</f>
        <v/>
      </c>
      <c r="D6" s="8">
        <f>_xlfn.MINIFS('Daily log'!E:E,'Daily log'!A:A,"&gt;="&amp;A6,'Daily log'!A:A,"&lt;"&amp;EDATE(A6,1))</f>
        <v/>
      </c>
      <c r="E6" s="8">
        <f>INDEX('Daily log'!$F$2:$F$100000,MATCH(EDATE(A6,1)-1,'Daily log'!$A$2:$A$100000,1))</f>
        <v/>
      </c>
      <c r="F6" s="10">
        <f>IFERROR(E6/E5-1,E6/B6-1)</f>
        <v/>
      </c>
      <c r="G6" s="8">
        <f>IFERROR(AVERAGEIFS('Daily log'!I:I,'Daily log'!A:A,"&gt;="&amp;A6,'Daily log'!A:A,"&lt;"&amp;EDATE(A6,1)),"")</f>
        <v/>
      </c>
      <c r="H6" s="5">
        <f>COUNTIFS('Daily log'!A:A,"&gt;="&amp;A6,'Daily log'!A:A,"&lt;"&amp;EDATE(A6,1),'Daily log'!J:J,"Up")</f>
        <v/>
      </c>
      <c r="I6" s="5">
        <f>COUNTIFS('Daily log'!A:A,"&gt;="&amp;A6,'Daily log'!A:A,"&lt;"&amp;EDATE(A6,1),'Daily log'!J:J,"Down")</f>
        <v/>
      </c>
      <c r="J6" s="5">
        <f>COUNTIFS('Daily log'!A:A,"&gt;="&amp;A6,'Daily log'!A:A,"&lt;"&amp;EDATE(A6,1))</f>
        <v/>
      </c>
      <c r="K6" s="5">
        <f>SUMIFS('Daily log'!R:R,'Daily log'!A:A,"&gt;="&amp;A6,'Daily log'!A:A,"&lt;"&amp;EDATE(A6,1))</f>
        <v/>
      </c>
      <c r="L6" s="9">
        <f>SUMIFS('Daily log'!U:U,'Daily log'!A:A,"&gt;="&amp;A6,'Daily log'!A:A,"&lt;"&amp;EDATE(A6,1))</f>
        <v/>
      </c>
    </row>
    <row r="7">
      <c r="A7" s="19" t="n">
        <v>44621</v>
      </c>
      <c r="B7" s="8">
        <f>INDEX('Daily log'!$C$2:$C$100000,MATCH(A7-1,'Daily log'!$A$2:$A$100000,1)+1)</f>
        <v/>
      </c>
      <c r="C7" s="8">
        <f>_xlfn.MAXIFS('Daily log'!D:D,'Daily log'!A:A,"&gt;="&amp;A7,'Daily log'!A:A,"&lt;"&amp;EDATE(A7,1))</f>
        <v/>
      </c>
      <c r="D7" s="8">
        <f>_xlfn.MINIFS('Daily log'!E:E,'Daily log'!A:A,"&gt;="&amp;A7,'Daily log'!A:A,"&lt;"&amp;EDATE(A7,1))</f>
        <v/>
      </c>
      <c r="E7" s="8">
        <f>INDEX('Daily log'!$F$2:$F$100000,MATCH(EDATE(A7,1)-1,'Daily log'!$A$2:$A$100000,1))</f>
        <v/>
      </c>
      <c r="F7" s="10">
        <f>IFERROR(E7/E6-1,E7/B7-1)</f>
        <v/>
      </c>
      <c r="G7" s="8">
        <f>IFERROR(AVERAGEIFS('Daily log'!I:I,'Daily log'!A:A,"&gt;="&amp;A7,'Daily log'!A:A,"&lt;"&amp;EDATE(A7,1)),"")</f>
        <v/>
      </c>
      <c r="H7" s="5">
        <f>COUNTIFS('Daily log'!A:A,"&gt;="&amp;A7,'Daily log'!A:A,"&lt;"&amp;EDATE(A7,1),'Daily log'!J:J,"Up")</f>
        <v/>
      </c>
      <c r="I7" s="5">
        <f>COUNTIFS('Daily log'!A:A,"&gt;="&amp;A7,'Daily log'!A:A,"&lt;"&amp;EDATE(A7,1),'Daily log'!J:J,"Down")</f>
        <v/>
      </c>
      <c r="J7" s="5">
        <f>COUNTIFS('Daily log'!A:A,"&gt;="&amp;A7,'Daily log'!A:A,"&lt;"&amp;EDATE(A7,1))</f>
        <v/>
      </c>
      <c r="K7" s="5">
        <f>SUMIFS('Daily log'!R:R,'Daily log'!A:A,"&gt;="&amp;A7,'Daily log'!A:A,"&lt;"&amp;EDATE(A7,1))</f>
        <v/>
      </c>
      <c r="L7" s="9">
        <f>SUMIFS('Daily log'!U:U,'Daily log'!A:A,"&gt;="&amp;A7,'Daily log'!A:A,"&lt;"&amp;EDATE(A7,1))</f>
        <v/>
      </c>
    </row>
    <row r="8">
      <c r="A8" s="19" t="n">
        <v>44652</v>
      </c>
      <c r="B8" s="8">
        <f>INDEX('Daily log'!$C$2:$C$100000,MATCH(A8-1,'Daily log'!$A$2:$A$100000,1)+1)</f>
        <v/>
      </c>
      <c r="C8" s="8">
        <f>_xlfn.MAXIFS('Daily log'!D:D,'Daily log'!A:A,"&gt;="&amp;A8,'Daily log'!A:A,"&lt;"&amp;EDATE(A8,1))</f>
        <v/>
      </c>
      <c r="D8" s="8">
        <f>_xlfn.MINIFS('Daily log'!E:E,'Daily log'!A:A,"&gt;="&amp;A8,'Daily log'!A:A,"&lt;"&amp;EDATE(A8,1))</f>
        <v/>
      </c>
      <c r="E8" s="8">
        <f>INDEX('Daily log'!$F$2:$F$100000,MATCH(EDATE(A8,1)-1,'Daily log'!$A$2:$A$100000,1))</f>
        <v/>
      </c>
      <c r="F8" s="10">
        <f>IFERROR(E8/E7-1,E8/B8-1)</f>
        <v/>
      </c>
      <c r="G8" s="8">
        <f>IFERROR(AVERAGEIFS('Daily log'!I:I,'Daily log'!A:A,"&gt;="&amp;A8,'Daily log'!A:A,"&lt;"&amp;EDATE(A8,1)),"")</f>
        <v/>
      </c>
      <c r="H8" s="5">
        <f>COUNTIFS('Daily log'!A:A,"&gt;="&amp;A8,'Daily log'!A:A,"&lt;"&amp;EDATE(A8,1),'Daily log'!J:J,"Up")</f>
        <v/>
      </c>
      <c r="I8" s="5">
        <f>COUNTIFS('Daily log'!A:A,"&gt;="&amp;A8,'Daily log'!A:A,"&lt;"&amp;EDATE(A8,1),'Daily log'!J:J,"Down")</f>
        <v/>
      </c>
      <c r="J8" s="5">
        <f>COUNTIFS('Daily log'!A:A,"&gt;="&amp;A8,'Daily log'!A:A,"&lt;"&amp;EDATE(A8,1))</f>
        <v/>
      </c>
      <c r="K8" s="5">
        <f>SUMIFS('Daily log'!R:R,'Daily log'!A:A,"&gt;="&amp;A8,'Daily log'!A:A,"&lt;"&amp;EDATE(A8,1))</f>
        <v/>
      </c>
      <c r="L8" s="9">
        <f>SUMIFS('Daily log'!U:U,'Daily log'!A:A,"&gt;="&amp;A8,'Daily log'!A:A,"&lt;"&amp;EDATE(A8,1))</f>
        <v/>
      </c>
    </row>
    <row r="9">
      <c r="A9" s="19" t="n">
        <v>44682</v>
      </c>
      <c r="B9" s="8">
        <f>INDEX('Daily log'!$C$2:$C$100000,MATCH(A9-1,'Daily log'!$A$2:$A$100000,1)+1)</f>
        <v/>
      </c>
      <c r="C9" s="8">
        <f>_xlfn.MAXIFS('Daily log'!D:D,'Daily log'!A:A,"&gt;="&amp;A9,'Daily log'!A:A,"&lt;"&amp;EDATE(A9,1))</f>
        <v/>
      </c>
      <c r="D9" s="8">
        <f>_xlfn.MINIFS('Daily log'!E:E,'Daily log'!A:A,"&gt;="&amp;A9,'Daily log'!A:A,"&lt;"&amp;EDATE(A9,1))</f>
        <v/>
      </c>
      <c r="E9" s="8">
        <f>INDEX('Daily log'!$F$2:$F$100000,MATCH(EDATE(A9,1)-1,'Daily log'!$A$2:$A$100000,1))</f>
        <v/>
      </c>
      <c r="F9" s="10">
        <f>IFERROR(E9/E8-1,E9/B9-1)</f>
        <v/>
      </c>
      <c r="G9" s="8">
        <f>IFERROR(AVERAGEIFS('Daily log'!I:I,'Daily log'!A:A,"&gt;="&amp;A9,'Daily log'!A:A,"&lt;"&amp;EDATE(A9,1)),"")</f>
        <v/>
      </c>
      <c r="H9" s="5">
        <f>COUNTIFS('Daily log'!A:A,"&gt;="&amp;A9,'Daily log'!A:A,"&lt;"&amp;EDATE(A9,1),'Daily log'!J:J,"Up")</f>
        <v/>
      </c>
      <c r="I9" s="5">
        <f>COUNTIFS('Daily log'!A:A,"&gt;="&amp;A9,'Daily log'!A:A,"&lt;"&amp;EDATE(A9,1),'Daily log'!J:J,"Down")</f>
        <v/>
      </c>
      <c r="J9" s="5">
        <f>COUNTIFS('Daily log'!A:A,"&gt;="&amp;A9,'Daily log'!A:A,"&lt;"&amp;EDATE(A9,1))</f>
        <v/>
      </c>
      <c r="K9" s="5">
        <f>SUMIFS('Daily log'!R:R,'Daily log'!A:A,"&gt;="&amp;A9,'Daily log'!A:A,"&lt;"&amp;EDATE(A9,1))</f>
        <v/>
      </c>
      <c r="L9" s="9">
        <f>SUMIFS('Daily log'!U:U,'Daily log'!A:A,"&gt;="&amp;A9,'Daily log'!A:A,"&lt;"&amp;EDATE(A9,1))</f>
        <v/>
      </c>
    </row>
    <row r="10">
      <c r="A10" s="19" t="n">
        <v>44713</v>
      </c>
      <c r="B10" s="8">
        <f>INDEX('Daily log'!$C$2:$C$100000,MATCH(A10-1,'Daily log'!$A$2:$A$100000,1)+1)</f>
        <v/>
      </c>
      <c r="C10" s="8">
        <f>_xlfn.MAXIFS('Daily log'!D:D,'Daily log'!A:A,"&gt;="&amp;A10,'Daily log'!A:A,"&lt;"&amp;EDATE(A10,1))</f>
        <v/>
      </c>
      <c r="D10" s="8">
        <f>_xlfn.MINIFS('Daily log'!E:E,'Daily log'!A:A,"&gt;="&amp;A10,'Daily log'!A:A,"&lt;"&amp;EDATE(A10,1))</f>
        <v/>
      </c>
      <c r="E10" s="8">
        <f>INDEX('Daily log'!$F$2:$F$100000,MATCH(EDATE(A10,1)-1,'Daily log'!$A$2:$A$100000,1))</f>
        <v/>
      </c>
      <c r="F10" s="10">
        <f>IFERROR(E10/E9-1,E10/B10-1)</f>
        <v/>
      </c>
      <c r="G10" s="8">
        <f>IFERROR(AVERAGEIFS('Daily log'!I:I,'Daily log'!A:A,"&gt;="&amp;A10,'Daily log'!A:A,"&lt;"&amp;EDATE(A10,1)),"")</f>
        <v/>
      </c>
      <c r="H10" s="5">
        <f>COUNTIFS('Daily log'!A:A,"&gt;="&amp;A10,'Daily log'!A:A,"&lt;"&amp;EDATE(A10,1),'Daily log'!J:J,"Up")</f>
        <v/>
      </c>
      <c r="I10" s="5">
        <f>COUNTIFS('Daily log'!A:A,"&gt;="&amp;A10,'Daily log'!A:A,"&lt;"&amp;EDATE(A10,1),'Daily log'!J:J,"Down")</f>
        <v/>
      </c>
      <c r="J10" s="5">
        <f>COUNTIFS('Daily log'!A:A,"&gt;="&amp;A10,'Daily log'!A:A,"&lt;"&amp;EDATE(A10,1))</f>
        <v/>
      </c>
      <c r="K10" s="5">
        <f>SUMIFS('Daily log'!R:R,'Daily log'!A:A,"&gt;="&amp;A10,'Daily log'!A:A,"&lt;"&amp;EDATE(A10,1))</f>
        <v/>
      </c>
      <c r="L10" s="9">
        <f>SUMIFS('Daily log'!U:U,'Daily log'!A:A,"&gt;="&amp;A10,'Daily log'!A:A,"&lt;"&amp;EDATE(A10,1))</f>
        <v/>
      </c>
    </row>
    <row r="11">
      <c r="A11" s="19" t="n">
        <v>44743</v>
      </c>
      <c r="B11" s="8">
        <f>INDEX('Daily log'!$C$2:$C$100000,MATCH(A11-1,'Daily log'!$A$2:$A$100000,1)+1)</f>
        <v/>
      </c>
      <c r="C11" s="8">
        <f>_xlfn.MAXIFS('Daily log'!D:D,'Daily log'!A:A,"&gt;="&amp;A11,'Daily log'!A:A,"&lt;"&amp;EDATE(A11,1))</f>
        <v/>
      </c>
      <c r="D11" s="8">
        <f>_xlfn.MINIFS('Daily log'!E:E,'Daily log'!A:A,"&gt;="&amp;A11,'Daily log'!A:A,"&lt;"&amp;EDATE(A11,1))</f>
        <v/>
      </c>
      <c r="E11" s="8">
        <f>INDEX('Daily log'!$F$2:$F$100000,MATCH(EDATE(A11,1)-1,'Daily log'!$A$2:$A$100000,1))</f>
        <v/>
      </c>
      <c r="F11" s="10">
        <f>IFERROR(E11/E10-1,E11/B11-1)</f>
        <v/>
      </c>
      <c r="G11" s="8">
        <f>IFERROR(AVERAGEIFS('Daily log'!I:I,'Daily log'!A:A,"&gt;="&amp;A11,'Daily log'!A:A,"&lt;"&amp;EDATE(A11,1)),"")</f>
        <v/>
      </c>
      <c r="H11" s="5">
        <f>COUNTIFS('Daily log'!A:A,"&gt;="&amp;A11,'Daily log'!A:A,"&lt;"&amp;EDATE(A11,1),'Daily log'!J:J,"Up")</f>
        <v/>
      </c>
      <c r="I11" s="5">
        <f>COUNTIFS('Daily log'!A:A,"&gt;="&amp;A11,'Daily log'!A:A,"&lt;"&amp;EDATE(A11,1),'Daily log'!J:J,"Down")</f>
        <v/>
      </c>
      <c r="J11" s="5">
        <f>COUNTIFS('Daily log'!A:A,"&gt;="&amp;A11,'Daily log'!A:A,"&lt;"&amp;EDATE(A11,1))</f>
        <v/>
      </c>
      <c r="K11" s="5">
        <f>SUMIFS('Daily log'!R:R,'Daily log'!A:A,"&gt;="&amp;A11,'Daily log'!A:A,"&lt;"&amp;EDATE(A11,1))</f>
        <v/>
      </c>
      <c r="L11" s="9">
        <f>SUMIFS('Daily log'!U:U,'Daily log'!A:A,"&gt;="&amp;A11,'Daily log'!A:A,"&lt;"&amp;EDATE(A11,1))</f>
        <v/>
      </c>
    </row>
    <row r="12">
      <c r="A12" s="19" t="n">
        <v>44774</v>
      </c>
      <c r="B12" s="8">
        <f>INDEX('Daily log'!$C$2:$C$100000,MATCH(A12-1,'Daily log'!$A$2:$A$100000,1)+1)</f>
        <v/>
      </c>
      <c r="C12" s="8">
        <f>_xlfn.MAXIFS('Daily log'!D:D,'Daily log'!A:A,"&gt;="&amp;A12,'Daily log'!A:A,"&lt;"&amp;EDATE(A12,1))</f>
        <v/>
      </c>
      <c r="D12" s="8">
        <f>_xlfn.MINIFS('Daily log'!E:E,'Daily log'!A:A,"&gt;="&amp;A12,'Daily log'!A:A,"&lt;"&amp;EDATE(A12,1))</f>
        <v/>
      </c>
      <c r="E12" s="8">
        <f>INDEX('Daily log'!$F$2:$F$100000,MATCH(EDATE(A12,1)-1,'Daily log'!$A$2:$A$100000,1))</f>
        <v/>
      </c>
      <c r="F12" s="10">
        <f>IFERROR(E12/E11-1,E12/B12-1)</f>
        <v/>
      </c>
      <c r="G12" s="8">
        <f>IFERROR(AVERAGEIFS('Daily log'!I:I,'Daily log'!A:A,"&gt;="&amp;A12,'Daily log'!A:A,"&lt;"&amp;EDATE(A12,1)),"")</f>
        <v/>
      </c>
      <c r="H12" s="5">
        <f>COUNTIFS('Daily log'!A:A,"&gt;="&amp;A12,'Daily log'!A:A,"&lt;"&amp;EDATE(A12,1),'Daily log'!J:J,"Up")</f>
        <v/>
      </c>
      <c r="I12" s="5">
        <f>COUNTIFS('Daily log'!A:A,"&gt;="&amp;A12,'Daily log'!A:A,"&lt;"&amp;EDATE(A12,1),'Daily log'!J:J,"Down")</f>
        <v/>
      </c>
      <c r="J12" s="5">
        <f>COUNTIFS('Daily log'!A:A,"&gt;="&amp;A12,'Daily log'!A:A,"&lt;"&amp;EDATE(A12,1))</f>
        <v/>
      </c>
      <c r="K12" s="5">
        <f>SUMIFS('Daily log'!R:R,'Daily log'!A:A,"&gt;="&amp;A12,'Daily log'!A:A,"&lt;"&amp;EDATE(A12,1))</f>
        <v/>
      </c>
      <c r="L12" s="9">
        <f>SUMIFS('Daily log'!U:U,'Daily log'!A:A,"&gt;="&amp;A12,'Daily log'!A:A,"&lt;"&amp;EDATE(A12,1))</f>
        <v/>
      </c>
    </row>
    <row r="13">
      <c r="A13" s="19" t="n">
        <v>44805</v>
      </c>
      <c r="B13" s="8">
        <f>INDEX('Daily log'!$C$2:$C$100000,MATCH(A13-1,'Daily log'!$A$2:$A$100000,1)+1)</f>
        <v/>
      </c>
      <c r="C13" s="8">
        <f>_xlfn.MAXIFS('Daily log'!D:D,'Daily log'!A:A,"&gt;="&amp;A13,'Daily log'!A:A,"&lt;"&amp;EDATE(A13,1))</f>
        <v/>
      </c>
      <c r="D13" s="8">
        <f>_xlfn.MINIFS('Daily log'!E:E,'Daily log'!A:A,"&gt;="&amp;A13,'Daily log'!A:A,"&lt;"&amp;EDATE(A13,1))</f>
        <v/>
      </c>
      <c r="E13" s="8">
        <f>INDEX('Daily log'!$F$2:$F$100000,MATCH(EDATE(A13,1)-1,'Daily log'!$A$2:$A$100000,1))</f>
        <v/>
      </c>
      <c r="F13" s="10">
        <f>IFERROR(E13/E12-1,E13/B13-1)</f>
        <v/>
      </c>
      <c r="G13" s="8">
        <f>IFERROR(AVERAGEIFS('Daily log'!I:I,'Daily log'!A:A,"&gt;="&amp;A13,'Daily log'!A:A,"&lt;"&amp;EDATE(A13,1)),"")</f>
        <v/>
      </c>
      <c r="H13" s="5">
        <f>COUNTIFS('Daily log'!A:A,"&gt;="&amp;A13,'Daily log'!A:A,"&lt;"&amp;EDATE(A13,1),'Daily log'!J:J,"Up")</f>
        <v/>
      </c>
      <c r="I13" s="5">
        <f>COUNTIFS('Daily log'!A:A,"&gt;="&amp;A13,'Daily log'!A:A,"&lt;"&amp;EDATE(A13,1),'Daily log'!J:J,"Down")</f>
        <v/>
      </c>
      <c r="J13" s="5">
        <f>COUNTIFS('Daily log'!A:A,"&gt;="&amp;A13,'Daily log'!A:A,"&lt;"&amp;EDATE(A13,1))</f>
        <v/>
      </c>
      <c r="K13" s="5">
        <f>SUMIFS('Daily log'!R:R,'Daily log'!A:A,"&gt;="&amp;A13,'Daily log'!A:A,"&lt;"&amp;EDATE(A13,1))</f>
        <v/>
      </c>
      <c r="L13" s="9">
        <f>SUMIFS('Daily log'!U:U,'Daily log'!A:A,"&gt;="&amp;A13,'Daily log'!A:A,"&lt;"&amp;EDATE(A13,1))</f>
        <v/>
      </c>
    </row>
    <row r="14">
      <c r="A14" s="19" t="n">
        <v>44835</v>
      </c>
      <c r="B14" s="8">
        <f>INDEX('Daily log'!$C$2:$C$100000,MATCH(A14-1,'Daily log'!$A$2:$A$100000,1)+1)</f>
        <v/>
      </c>
      <c r="C14" s="8">
        <f>_xlfn.MAXIFS('Daily log'!D:D,'Daily log'!A:A,"&gt;="&amp;A14,'Daily log'!A:A,"&lt;"&amp;EDATE(A14,1))</f>
        <v/>
      </c>
      <c r="D14" s="8">
        <f>_xlfn.MINIFS('Daily log'!E:E,'Daily log'!A:A,"&gt;="&amp;A14,'Daily log'!A:A,"&lt;"&amp;EDATE(A14,1))</f>
        <v/>
      </c>
      <c r="E14" s="8">
        <f>INDEX('Daily log'!$F$2:$F$100000,MATCH(EDATE(A14,1)-1,'Daily log'!$A$2:$A$100000,1))</f>
        <v/>
      </c>
      <c r="F14" s="10">
        <f>IFERROR(E14/E13-1,E14/B14-1)</f>
        <v/>
      </c>
      <c r="G14" s="8">
        <f>IFERROR(AVERAGEIFS('Daily log'!I:I,'Daily log'!A:A,"&gt;="&amp;A14,'Daily log'!A:A,"&lt;"&amp;EDATE(A14,1)),"")</f>
        <v/>
      </c>
      <c r="H14" s="5">
        <f>COUNTIFS('Daily log'!A:A,"&gt;="&amp;A14,'Daily log'!A:A,"&lt;"&amp;EDATE(A14,1),'Daily log'!J:J,"Up")</f>
        <v/>
      </c>
      <c r="I14" s="5">
        <f>COUNTIFS('Daily log'!A:A,"&gt;="&amp;A14,'Daily log'!A:A,"&lt;"&amp;EDATE(A14,1),'Daily log'!J:J,"Down")</f>
        <v/>
      </c>
      <c r="J14" s="5">
        <f>COUNTIFS('Daily log'!A:A,"&gt;="&amp;A14,'Daily log'!A:A,"&lt;"&amp;EDATE(A14,1))</f>
        <v/>
      </c>
      <c r="K14" s="5">
        <f>SUMIFS('Daily log'!R:R,'Daily log'!A:A,"&gt;="&amp;A14,'Daily log'!A:A,"&lt;"&amp;EDATE(A14,1))</f>
        <v/>
      </c>
      <c r="L14" s="9">
        <f>SUMIFS('Daily log'!U:U,'Daily log'!A:A,"&gt;="&amp;A14,'Daily log'!A:A,"&lt;"&amp;EDATE(A14,1))</f>
        <v/>
      </c>
    </row>
    <row r="15">
      <c r="A15" s="19" t="n">
        <v>44866</v>
      </c>
      <c r="B15" s="8">
        <f>INDEX('Daily log'!$C$2:$C$100000,MATCH(A15-1,'Daily log'!$A$2:$A$100000,1)+1)</f>
        <v/>
      </c>
      <c r="C15" s="8">
        <f>_xlfn.MAXIFS('Daily log'!D:D,'Daily log'!A:A,"&gt;="&amp;A15,'Daily log'!A:A,"&lt;"&amp;EDATE(A15,1))</f>
        <v/>
      </c>
      <c r="D15" s="8">
        <f>_xlfn.MINIFS('Daily log'!E:E,'Daily log'!A:A,"&gt;="&amp;A15,'Daily log'!A:A,"&lt;"&amp;EDATE(A15,1))</f>
        <v/>
      </c>
      <c r="E15" s="8">
        <f>INDEX('Daily log'!$F$2:$F$100000,MATCH(EDATE(A15,1)-1,'Daily log'!$A$2:$A$100000,1))</f>
        <v/>
      </c>
      <c r="F15" s="10">
        <f>IFERROR(E15/E14-1,E15/B15-1)</f>
        <v/>
      </c>
      <c r="G15" s="8">
        <f>IFERROR(AVERAGEIFS('Daily log'!I:I,'Daily log'!A:A,"&gt;="&amp;A15,'Daily log'!A:A,"&lt;"&amp;EDATE(A15,1)),"")</f>
        <v/>
      </c>
      <c r="H15" s="5">
        <f>COUNTIFS('Daily log'!A:A,"&gt;="&amp;A15,'Daily log'!A:A,"&lt;"&amp;EDATE(A15,1),'Daily log'!J:J,"Up")</f>
        <v/>
      </c>
      <c r="I15" s="5">
        <f>COUNTIFS('Daily log'!A:A,"&gt;="&amp;A15,'Daily log'!A:A,"&lt;"&amp;EDATE(A15,1),'Daily log'!J:J,"Down")</f>
        <v/>
      </c>
      <c r="J15" s="5">
        <f>COUNTIFS('Daily log'!A:A,"&gt;="&amp;A15,'Daily log'!A:A,"&lt;"&amp;EDATE(A15,1))</f>
        <v/>
      </c>
      <c r="K15" s="5">
        <f>SUMIFS('Daily log'!R:R,'Daily log'!A:A,"&gt;="&amp;A15,'Daily log'!A:A,"&lt;"&amp;EDATE(A15,1))</f>
        <v/>
      </c>
      <c r="L15" s="9">
        <f>SUMIFS('Daily log'!U:U,'Daily log'!A:A,"&gt;="&amp;A15,'Daily log'!A:A,"&lt;"&amp;EDATE(A15,1))</f>
        <v/>
      </c>
    </row>
    <row r="16">
      <c r="A16" s="19" t="n">
        <v>44896</v>
      </c>
      <c r="B16" s="8">
        <f>INDEX('Daily log'!$C$2:$C$100000,MATCH(A16-1,'Daily log'!$A$2:$A$100000,1)+1)</f>
        <v/>
      </c>
      <c r="C16" s="8">
        <f>_xlfn.MAXIFS('Daily log'!D:D,'Daily log'!A:A,"&gt;="&amp;A16,'Daily log'!A:A,"&lt;"&amp;EDATE(A16,1))</f>
        <v/>
      </c>
      <c r="D16" s="8">
        <f>_xlfn.MINIFS('Daily log'!E:E,'Daily log'!A:A,"&gt;="&amp;A16,'Daily log'!A:A,"&lt;"&amp;EDATE(A16,1))</f>
        <v/>
      </c>
      <c r="E16" s="8">
        <f>INDEX('Daily log'!$F$2:$F$100000,MATCH(EDATE(A16,1)-1,'Daily log'!$A$2:$A$100000,1))</f>
        <v/>
      </c>
      <c r="F16" s="10">
        <f>IFERROR(E16/E15-1,E16/B16-1)</f>
        <v/>
      </c>
      <c r="G16" s="8">
        <f>IFERROR(AVERAGEIFS('Daily log'!I:I,'Daily log'!A:A,"&gt;="&amp;A16,'Daily log'!A:A,"&lt;"&amp;EDATE(A16,1)),"")</f>
        <v/>
      </c>
      <c r="H16" s="5">
        <f>COUNTIFS('Daily log'!A:A,"&gt;="&amp;A16,'Daily log'!A:A,"&lt;"&amp;EDATE(A16,1),'Daily log'!J:J,"Up")</f>
        <v/>
      </c>
      <c r="I16" s="5">
        <f>COUNTIFS('Daily log'!A:A,"&gt;="&amp;A16,'Daily log'!A:A,"&lt;"&amp;EDATE(A16,1),'Daily log'!J:J,"Down")</f>
        <v/>
      </c>
      <c r="J16" s="5">
        <f>COUNTIFS('Daily log'!A:A,"&gt;="&amp;A16,'Daily log'!A:A,"&lt;"&amp;EDATE(A16,1))</f>
        <v/>
      </c>
      <c r="K16" s="5">
        <f>SUMIFS('Daily log'!R:R,'Daily log'!A:A,"&gt;="&amp;A16,'Daily log'!A:A,"&lt;"&amp;EDATE(A16,1))</f>
        <v/>
      </c>
      <c r="L16" s="9">
        <f>SUMIFS('Daily log'!U:U,'Daily log'!A:A,"&gt;="&amp;A16,'Daily log'!A:A,"&lt;"&amp;EDATE(A16,1))</f>
        <v/>
      </c>
    </row>
    <row r="17">
      <c r="A17" s="19" t="n">
        <v>44927</v>
      </c>
      <c r="B17" s="8">
        <f>INDEX('Daily log'!$C$2:$C$100000,MATCH(A17-1,'Daily log'!$A$2:$A$100000,1)+1)</f>
        <v/>
      </c>
      <c r="C17" s="8">
        <f>_xlfn.MAXIFS('Daily log'!D:D,'Daily log'!A:A,"&gt;="&amp;A17,'Daily log'!A:A,"&lt;"&amp;EDATE(A17,1))</f>
        <v/>
      </c>
      <c r="D17" s="8">
        <f>_xlfn.MINIFS('Daily log'!E:E,'Daily log'!A:A,"&gt;="&amp;A17,'Daily log'!A:A,"&lt;"&amp;EDATE(A17,1))</f>
        <v/>
      </c>
      <c r="E17" s="8">
        <f>INDEX('Daily log'!$F$2:$F$100000,MATCH(EDATE(A17,1)-1,'Daily log'!$A$2:$A$100000,1))</f>
        <v/>
      </c>
      <c r="F17" s="10">
        <f>IFERROR(E17/E16-1,E17/B17-1)</f>
        <v/>
      </c>
      <c r="G17" s="8">
        <f>IFERROR(AVERAGEIFS('Daily log'!I:I,'Daily log'!A:A,"&gt;="&amp;A17,'Daily log'!A:A,"&lt;"&amp;EDATE(A17,1)),"")</f>
        <v/>
      </c>
      <c r="H17" s="5">
        <f>COUNTIFS('Daily log'!A:A,"&gt;="&amp;A17,'Daily log'!A:A,"&lt;"&amp;EDATE(A17,1),'Daily log'!J:J,"Up")</f>
        <v/>
      </c>
      <c r="I17" s="5">
        <f>COUNTIFS('Daily log'!A:A,"&gt;="&amp;A17,'Daily log'!A:A,"&lt;"&amp;EDATE(A17,1),'Daily log'!J:J,"Down")</f>
        <v/>
      </c>
      <c r="J17" s="5">
        <f>COUNTIFS('Daily log'!A:A,"&gt;="&amp;A17,'Daily log'!A:A,"&lt;"&amp;EDATE(A17,1))</f>
        <v/>
      </c>
      <c r="K17" s="5">
        <f>SUMIFS('Daily log'!R:R,'Daily log'!A:A,"&gt;="&amp;A17,'Daily log'!A:A,"&lt;"&amp;EDATE(A17,1))</f>
        <v/>
      </c>
      <c r="L17" s="9">
        <f>SUMIFS('Daily log'!U:U,'Daily log'!A:A,"&gt;="&amp;A17,'Daily log'!A:A,"&lt;"&amp;EDATE(A17,1))</f>
        <v/>
      </c>
    </row>
    <row r="18">
      <c r="A18" s="19" t="n">
        <v>44958</v>
      </c>
      <c r="B18" s="8">
        <f>INDEX('Daily log'!$C$2:$C$100000,MATCH(A18-1,'Daily log'!$A$2:$A$100000,1)+1)</f>
        <v/>
      </c>
      <c r="C18" s="8">
        <f>_xlfn.MAXIFS('Daily log'!D:D,'Daily log'!A:A,"&gt;="&amp;A18,'Daily log'!A:A,"&lt;"&amp;EDATE(A18,1))</f>
        <v/>
      </c>
      <c r="D18" s="8">
        <f>_xlfn.MINIFS('Daily log'!E:E,'Daily log'!A:A,"&gt;="&amp;A18,'Daily log'!A:A,"&lt;"&amp;EDATE(A18,1))</f>
        <v/>
      </c>
      <c r="E18" s="8">
        <f>INDEX('Daily log'!$F$2:$F$100000,MATCH(EDATE(A18,1)-1,'Daily log'!$A$2:$A$100000,1))</f>
        <v/>
      </c>
      <c r="F18" s="10">
        <f>IFERROR(E18/E17-1,E18/B18-1)</f>
        <v/>
      </c>
      <c r="G18" s="8">
        <f>IFERROR(AVERAGEIFS('Daily log'!I:I,'Daily log'!A:A,"&gt;="&amp;A18,'Daily log'!A:A,"&lt;"&amp;EDATE(A18,1)),"")</f>
        <v/>
      </c>
      <c r="H18" s="5">
        <f>COUNTIFS('Daily log'!A:A,"&gt;="&amp;A18,'Daily log'!A:A,"&lt;"&amp;EDATE(A18,1),'Daily log'!J:J,"Up")</f>
        <v/>
      </c>
      <c r="I18" s="5">
        <f>COUNTIFS('Daily log'!A:A,"&gt;="&amp;A18,'Daily log'!A:A,"&lt;"&amp;EDATE(A18,1),'Daily log'!J:J,"Down")</f>
        <v/>
      </c>
      <c r="J18" s="5">
        <f>COUNTIFS('Daily log'!A:A,"&gt;="&amp;A18,'Daily log'!A:A,"&lt;"&amp;EDATE(A18,1))</f>
        <v/>
      </c>
      <c r="K18" s="5">
        <f>SUMIFS('Daily log'!R:R,'Daily log'!A:A,"&gt;="&amp;A18,'Daily log'!A:A,"&lt;"&amp;EDATE(A18,1))</f>
        <v/>
      </c>
      <c r="L18" s="9">
        <f>SUMIFS('Daily log'!U:U,'Daily log'!A:A,"&gt;="&amp;A18,'Daily log'!A:A,"&lt;"&amp;EDATE(A18,1))</f>
        <v/>
      </c>
    </row>
    <row r="19">
      <c r="A19" s="19" t="n">
        <v>44986</v>
      </c>
      <c r="B19" s="8">
        <f>INDEX('Daily log'!$C$2:$C$100000,MATCH(A19-1,'Daily log'!$A$2:$A$100000,1)+1)</f>
        <v/>
      </c>
      <c r="C19" s="8">
        <f>_xlfn.MAXIFS('Daily log'!D:D,'Daily log'!A:A,"&gt;="&amp;A19,'Daily log'!A:A,"&lt;"&amp;EDATE(A19,1))</f>
        <v/>
      </c>
      <c r="D19" s="8">
        <f>_xlfn.MINIFS('Daily log'!E:E,'Daily log'!A:A,"&gt;="&amp;A19,'Daily log'!A:A,"&lt;"&amp;EDATE(A19,1))</f>
        <v/>
      </c>
      <c r="E19" s="8">
        <f>INDEX('Daily log'!$F$2:$F$100000,MATCH(EDATE(A19,1)-1,'Daily log'!$A$2:$A$100000,1))</f>
        <v/>
      </c>
      <c r="F19" s="10">
        <f>IFERROR(E19/E18-1,E19/B19-1)</f>
        <v/>
      </c>
      <c r="G19" s="8">
        <f>IFERROR(AVERAGEIFS('Daily log'!I:I,'Daily log'!A:A,"&gt;="&amp;A19,'Daily log'!A:A,"&lt;"&amp;EDATE(A19,1)),"")</f>
        <v/>
      </c>
      <c r="H19" s="5">
        <f>COUNTIFS('Daily log'!A:A,"&gt;="&amp;A19,'Daily log'!A:A,"&lt;"&amp;EDATE(A19,1),'Daily log'!J:J,"Up")</f>
        <v/>
      </c>
      <c r="I19" s="5">
        <f>COUNTIFS('Daily log'!A:A,"&gt;="&amp;A19,'Daily log'!A:A,"&lt;"&amp;EDATE(A19,1),'Daily log'!J:J,"Down")</f>
        <v/>
      </c>
      <c r="J19" s="5">
        <f>COUNTIFS('Daily log'!A:A,"&gt;="&amp;A19,'Daily log'!A:A,"&lt;"&amp;EDATE(A19,1))</f>
        <v/>
      </c>
      <c r="K19" s="5">
        <f>SUMIFS('Daily log'!R:R,'Daily log'!A:A,"&gt;="&amp;A19,'Daily log'!A:A,"&lt;"&amp;EDATE(A19,1))</f>
        <v/>
      </c>
      <c r="L19" s="9">
        <f>SUMIFS('Daily log'!U:U,'Daily log'!A:A,"&gt;="&amp;A19,'Daily log'!A:A,"&lt;"&amp;EDATE(A19,1))</f>
        <v/>
      </c>
    </row>
    <row r="20">
      <c r="A20" s="19" t="n">
        <v>45017</v>
      </c>
      <c r="B20" s="8">
        <f>INDEX('Daily log'!$C$2:$C$100000,MATCH(A20-1,'Daily log'!$A$2:$A$100000,1)+1)</f>
        <v/>
      </c>
      <c r="C20" s="8">
        <f>_xlfn.MAXIFS('Daily log'!D:D,'Daily log'!A:A,"&gt;="&amp;A20,'Daily log'!A:A,"&lt;"&amp;EDATE(A20,1))</f>
        <v/>
      </c>
      <c r="D20" s="8">
        <f>_xlfn.MINIFS('Daily log'!E:E,'Daily log'!A:A,"&gt;="&amp;A20,'Daily log'!A:A,"&lt;"&amp;EDATE(A20,1))</f>
        <v/>
      </c>
      <c r="E20" s="8">
        <f>INDEX('Daily log'!$F$2:$F$100000,MATCH(EDATE(A20,1)-1,'Daily log'!$A$2:$A$100000,1))</f>
        <v/>
      </c>
      <c r="F20" s="10">
        <f>IFERROR(E20/E19-1,E20/B20-1)</f>
        <v/>
      </c>
      <c r="G20" s="8">
        <f>IFERROR(AVERAGEIFS('Daily log'!I:I,'Daily log'!A:A,"&gt;="&amp;A20,'Daily log'!A:A,"&lt;"&amp;EDATE(A20,1)),"")</f>
        <v/>
      </c>
      <c r="H20" s="5">
        <f>COUNTIFS('Daily log'!A:A,"&gt;="&amp;A20,'Daily log'!A:A,"&lt;"&amp;EDATE(A20,1),'Daily log'!J:J,"Up")</f>
        <v/>
      </c>
      <c r="I20" s="5">
        <f>COUNTIFS('Daily log'!A:A,"&gt;="&amp;A20,'Daily log'!A:A,"&lt;"&amp;EDATE(A20,1),'Daily log'!J:J,"Down")</f>
        <v/>
      </c>
      <c r="J20" s="5">
        <f>COUNTIFS('Daily log'!A:A,"&gt;="&amp;A20,'Daily log'!A:A,"&lt;"&amp;EDATE(A20,1))</f>
        <v/>
      </c>
      <c r="K20" s="5">
        <f>SUMIFS('Daily log'!R:R,'Daily log'!A:A,"&gt;="&amp;A20,'Daily log'!A:A,"&lt;"&amp;EDATE(A20,1))</f>
        <v/>
      </c>
      <c r="L20" s="9">
        <f>SUMIFS('Daily log'!U:U,'Daily log'!A:A,"&gt;="&amp;A20,'Daily log'!A:A,"&lt;"&amp;EDATE(A20,1))</f>
        <v/>
      </c>
    </row>
    <row r="21">
      <c r="A21" s="19" t="n">
        <v>45047</v>
      </c>
      <c r="B21" s="8">
        <f>INDEX('Daily log'!$C$2:$C$100000,MATCH(A21-1,'Daily log'!$A$2:$A$100000,1)+1)</f>
        <v/>
      </c>
      <c r="C21" s="8">
        <f>_xlfn.MAXIFS('Daily log'!D:D,'Daily log'!A:A,"&gt;="&amp;A21,'Daily log'!A:A,"&lt;"&amp;EDATE(A21,1))</f>
        <v/>
      </c>
      <c r="D21" s="8">
        <f>_xlfn.MINIFS('Daily log'!E:E,'Daily log'!A:A,"&gt;="&amp;A21,'Daily log'!A:A,"&lt;"&amp;EDATE(A21,1))</f>
        <v/>
      </c>
      <c r="E21" s="8">
        <f>INDEX('Daily log'!$F$2:$F$100000,MATCH(EDATE(A21,1)-1,'Daily log'!$A$2:$A$100000,1))</f>
        <v/>
      </c>
      <c r="F21" s="10">
        <f>IFERROR(E21/E20-1,E21/B21-1)</f>
        <v/>
      </c>
      <c r="G21" s="8">
        <f>IFERROR(AVERAGEIFS('Daily log'!I:I,'Daily log'!A:A,"&gt;="&amp;A21,'Daily log'!A:A,"&lt;"&amp;EDATE(A21,1)),"")</f>
        <v/>
      </c>
      <c r="H21" s="5">
        <f>COUNTIFS('Daily log'!A:A,"&gt;="&amp;A21,'Daily log'!A:A,"&lt;"&amp;EDATE(A21,1),'Daily log'!J:J,"Up")</f>
        <v/>
      </c>
      <c r="I21" s="5">
        <f>COUNTIFS('Daily log'!A:A,"&gt;="&amp;A21,'Daily log'!A:A,"&lt;"&amp;EDATE(A21,1),'Daily log'!J:J,"Down")</f>
        <v/>
      </c>
      <c r="J21" s="5">
        <f>COUNTIFS('Daily log'!A:A,"&gt;="&amp;A21,'Daily log'!A:A,"&lt;"&amp;EDATE(A21,1))</f>
        <v/>
      </c>
      <c r="K21" s="5">
        <f>SUMIFS('Daily log'!R:R,'Daily log'!A:A,"&gt;="&amp;A21,'Daily log'!A:A,"&lt;"&amp;EDATE(A21,1))</f>
        <v/>
      </c>
      <c r="L21" s="9">
        <f>SUMIFS('Daily log'!U:U,'Daily log'!A:A,"&gt;="&amp;A21,'Daily log'!A:A,"&lt;"&amp;EDATE(A21,1))</f>
        <v/>
      </c>
    </row>
    <row r="22">
      <c r="A22" s="19" t="n">
        <v>45078</v>
      </c>
      <c r="B22" s="8">
        <f>INDEX('Daily log'!$C$2:$C$100000,MATCH(A22-1,'Daily log'!$A$2:$A$100000,1)+1)</f>
        <v/>
      </c>
      <c r="C22" s="8">
        <f>_xlfn.MAXIFS('Daily log'!D:D,'Daily log'!A:A,"&gt;="&amp;A22,'Daily log'!A:A,"&lt;"&amp;EDATE(A22,1))</f>
        <v/>
      </c>
      <c r="D22" s="8">
        <f>_xlfn.MINIFS('Daily log'!E:E,'Daily log'!A:A,"&gt;="&amp;A22,'Daily log'!A:A,"&lt;"&amp;EDATE(A22,1))</f>
        <v/>
      </c>
      <c r="E22" s="8">
        <f>INDEX('Daily log'!$F$2:$F$100000,MATCH(EDATE(A22,1)-1,'Daily log'!$A$2:$A$100000,1))</f>
        <v/>
      </c>
      <c r="F22" s="10">
        <f>IFERROR(E22/E21-1,E22/B22-1)</f>
        <v/>
      </c>
      <c r="G22" s="8">
        <f>IFERROR(AVERAGEIFS('Daily log'!I:I,'Daily log'!A:A,"&gt;="&amp;A22,'Daily log'!A:A,"&lt;"&amp;EDATE(A22,1)),"")</f>
        <v/>
      </c>
      <c r="H22" s="5">
        <f>COUNTIFS('Daily log'!A:A,"&gt;="&amp;A22,'Daily log'!A:A,"&lt;"&amp;EDATE(A22,1),'Daily log'!J:J,"Up")</f>
        <v/>
      </c>
      <c r="I22" s="5">
        <f>COUNTIFS('Daily log'!A:A,"&gt;="&amp;A22,'Daily log'!A:A,"&lt;"&amp;EDATE(A22,1),'Daily log'!J:J,"Down")</f>
        <v/>
      </c>
      <c r="J22" s="5">
        <f>COUNTIFS('Daily log'!A:A,"&gt;="&amp;A22,'Daily log'!A:A,"&lt;"&amp;EDATE(A22,1))</f>
        <v/>
      </c>
      <c r="K22" s="5">
        <f>SUMIFS('Daily log'!R:R,'Daily log'!A:A,"&gt;="&amp;A22,'Daily log'!A:A,"&lt;"&amp;EDATE(A22,1))</f>
        <v/>
      </c>
      <c r="L22" s="9">
        <f>SUMIFS('Daily log'!U:U,'Daily log'!A:A,"&gt;="&amp;A22,'Daily log'!A:A,"&lt;"&amp;EDATE(A22,1))</f>
        <v/>
      </c>
    </row>
    <row r="23">
      <c r="A23" s="19" t="n">
        <v>45108</v>
      </c>
      <c r="B23" s="8">
        <f>INDEX('Daily log'!$C$2:$C$100000,MATCH(A23-1,'Daily log'!$A$2:$A$100000,1)+1)</f>
        <v/>
      </c>
      <c r="C23" s="8">
        <f>_xlfn.MAXIFS('Daily log'!D:D,'Daily log'!A:A,"&gt;="&amp;A23,'Daily log'!A:A,"&lt;"&amp;EDATE(A23,1))</f>
        <v/>
      </c>
      <c r="D23" s="8">
        <f>_xlfn.MINIFS('Daily log'!E:E,'Daily log'!A:A,"&gt;="&amp;A23,'Daily log'!A:A,"&lt;"&amp;EDATE(A23,1))</f>
        <v/>
      </c>
      <c r="E23" s="8">
        <f>INDEX('Daily log'!$F$2:$F$100000,MATCH(EDATE(A23,1)-1,'Daily log'!$A$2:$A$100000,1))</f>
        <v/>
      </c>
      <c r="F23" s="10">
        <f>IFERROR(E23/E22-1,E23/B23-1)</f>
        <v/>
      </c>
      <c r="G23" s="8">
        <f>IFERROR(AVERAGEIFS('Daily log'!I:I,'Daily log'!A:A,"&gt;="&amp;A23,'Daily log'!A:A,"&lt;"&amp;EDATE(A23,1)),"")</f>
        <v/>
      </c>
      <c r="H23" s="5">
        <f>COUNTIFS('Daily log'!A:A,"&gt;="&amp;A23,'Daily log'!A:A,"&lt;"&amp;EDATE(A23,1),'Daily log'!J:J,"Up")</f>
        <v/>
      </c>
      <c r="I23" s="5">
        <f>COUNTIFS('Daily log'!A:A,"&gt;="&amp;A23,'Daily log'!A:A,"&lt;"&amp;EDATE(A23,1),'Daily log'!J:J,"Down")</f>
        <v/>
      </c>
      <c r="J23" s="5">
        <f>COUNTIFS('Daily log'!A:A,"&gt;="&amp;A23,'Daily log'!A:A,"&lt;"&amp;EDATE(A23,1))</f>
        <v/>
      </c>
      <c r="K23" s="5">
        <f>SUMIFS('Daily log'!R:R,'Daily log'!A:A,"&gt;="&amp;A23,'Daily log'!A:A,"&lt;"&amp;EDATE(A23,1))</f>
        <v/>
      </c>
      <c r="L23" s="9">
        <f>SUMIFS('Daily log'!U:U,'Daily log'!A:A,"&gt;="&amp;A23,'Daily log'!A:A,"&lt;"&amp;EDATE(A23,1))</f>
        <v/>
      </c>
    </row>
    <row r="24">
      <c r="A24" s="19" t="n">
        <v>45139</v>
      </c>
      <c r="B24" s="8">
        <f>INDEX('Daily log'!$C$2:$C$100000,MATCH(A24-1,'Daily log'!$A$2:$A$100000,1)+1)</f>
        <v/>
      </c>
      <c r="C24" s="8">
        <f>_xlfn.MAXIFS('Daily log'!D:D,'Daily log'!A:A,"&gt;="&amp;A24,'Daily log'!A:A,"&lt;"&amp;EDATE(A24,1))</f>
        <v/>
      </c>
      <c r="D24" s="8">
        <f>_xlfn.MINIFS('Daily log'!E:E,'Daily log'!A:A,"&gt;="&amp;A24,'Daily log'!A:A,"&lt;"&amp;EDATE(A24,1))</f>
        <v/>
      </c>
      <c r="E24" s="8">
        <f>INDEX('Daily log'!$F$2:$F$100000,MATCH(EDATE(A24,1)-1,'Daily log'!$A$2:$A$100000,1))</f>
        <v/>
      </c>
      <c r="F24" s="10">
        <f>IFERROR(E24/E23-1,E24/B24-1)</f>
        <v/>
      </c>
      <c r="G24" s="8">
        <f>IFERROR(AVERAGEIFS('Daily log'!I:I,'Daily log'!A:A,"&gt;="&amp;A24,'Daily log'!A:A,"&lt;"&amp;EDATE(A24,1)),"")</f>
        <v/>
      </c>
      <c r="H24" s="5">
        <f>COUNTIFS('Daily log'!A:A,"&gt;="&amp;A24,'Daily log'!A:A,"&lt;"&amp;EDATE(A24,1),'Daily log'!J:J,"Up")</f>
        <v/>
      </c>
      <c r="I24" s="5">
        <f>COUNTIFS('Daily log'!A:A,"&gt;="&amp;A24,'Daily log'!A:A,"&lt;"&amp;EDATE(A24,1),'Daily log'!J:J,"Down")</f>
        <v/>
      </c>
      <c r="J24" s="5">
        <f>COUNTIFS('Daily log'!A:A,"&gt;="&amp;A24,'Daily log'!A:A,"&lt;"&amp;EDATE(A24,1))</f>
        <v/>
      </c>
      <c r="K24" s="5">
        <f>SUMIFS('Daily log'!R:R,'Daily log'!A:A,"&gt;="&amp;A24,'Daily log'!A:A,"&lt;"&amp;EDATE(A24,1))</f>
        <v/>
      </c>
      <c r="L24" s="9">
        <f>SUMIFS('Daily log'!U:U,'Daily log'!A:A,"&gt;="&amp;A24,'Daily log'!A:A,"&lt;"&amp;EDATE(A24,1))</f>
        <v/>
      </c>
    </row>
    <row r="25">
      <c r="A25" s="19" t="n">
        <v>45170</v>
      </c>
      <c r="B25" s="8">
        <f>INDEX('Daily log'!$C$2:$C$100000,MATCH(A25-1,'Daily log'!$A$2:$A$100000,1)+1)</f>
        <v/>
      </c>
      <c r="C25" s="8">
        <f>_xlfn.MAXIFS('Daily log'!D:D,'Daily log'!A:A,"&gt;="&amp;A25,'Daily log'!A:A,"&lt;"&amp;EDATE(A25,1))</f>
        <v/>
      </c>
      <c r="D25" s="8">
        <f>_xlfn.MINIFS('Daily log'!E:E,'Daily log'!A:A,"&gt;="&amp;A25,'Daily log'!A:A,"&lt;"&amp;EDATE(A25,1))</f>
        <v/>
      </c>
      <c r="E25" s="8">
        <f>INDEX('Daily log'!$F$2:$F$100000,MATCH(EDATE(A25,1)-1,'Daily log'!$A$2:$A$100000,1))</f>
        <v/>
      </c>
      <c r="F25" s="10">
        <f>IFERROR(E25/E24-1,E25/B25-1)</f>
        <v/>
      </c>
      <c r="G25" s="8">
        <f>IFERROR(AVERAGEIFS('Daily log'!I:I,'Daily log'!A:A,"&gt;="&amp;A25,'Daily log'!A:A,"&lt;"&amp;EDATE(A25,1)),"")</f>
        <v/>
      </c>
      <c r="H25" s="5">
        <f>COUNTIFS('Daily log'!A:A,"&gt;="&amp;A25,'Daily log'!A:A,"&lt;"&amp;EDATE(A25,1),'Daily log'!J:J,"Up")</f>
        <v/>
      </c>
      <c r="I25" s="5">
        <f>COUNTIFS('Daily log'!A:A,"&gt;="&amp;A25,'Daily log'!A:A,"&lt;"&amp;EDATE(A25,1),'Daily log'!J:J,"Down")</f>
        <v/>
      </c>
      <c r="J25" s="5">
        <f>COUNTIFS('Daily log'!A:A,"&gt;="&amp;A25,'Daily log'!A:A,"&lt;"&amp;EDATE(A25,1))</f>
        <v/>
      </c>
      <c r="K25" s="5">
        <f>SUMIFS('Daily log'!R:R,'Daily log'!A:A,"&gt;="&amp;A25,'Daily log'!A:A,"&lt;"&amp;EDATE(A25,1))</f>
        <v/>
      </c>
      <c r="L25" s="9">
        <f>SUMIFS('Daily log'!U:U,'Daily log'!A:A,"&gt;="&amp;A25,'Daily log'!A:A,"&lt;"&amp;EDATE(A25,1))</f>
        <v/>
      </c>
    </row>
    <row r="26">
      <c r="A26" s="19" t="n">
        <v>45200</v>
      </c>
      <c r="B26" s="8">
        <f>INDEX('Daily log'!$C$2:$C$100000,MATCH(A26-1,'Daily log'!$A$2:$A$100000,1)+1)</f>
        <v/>
      </c>
      <c r="C26" s="8">
        <f>_xlfn.MAXIFS('Daily log'!D:D,'Daily log'!A:A,"&gt;="&amp;A26,'Daily log'!A:A,"&lt;"&amp;EDATE(A26,1))</f>
        <v/>
      </c>
      <c r="D26" s="8">
        <f>_xlfn.MINIFS('Daily log'!E:E,'Daily log'!A:A,"&gt;="&amp;A26,'Daily log'!A:A,"&lt;"&amp;EDATE(A26,1))</f>
        <v/>
      </c>
      <c r="E26" s="8">
        <f>INDEX('Daily log'!$F$2:$F$100000,MATCH(EDATE(A26,1)-1,'Daily log'!$A$2:$A$100000,1))</f>
        <v/>
      </c>
      <c r="F26" s="10">
        <f>IFERROR(E26/E25-1,E26/B26-1)</f>
        <v/>
      </c>
      <c r="G26" s="8">
        <f>IFERROR(AVERAGEIFS('Daily log'!I:I,'Daily log'!A:A,"&gt;="&amp;A26,'Daily log'!A:A,"&lt;"&amp;EDATE(A26,1)),"")</f>
        <v/>
      </c>
      <c r="H26" s="5">
        <f>COUNTIFS('Daily log'!A:A,"&gt;="&amp;A26,'Daily log'!A:A,"&lt;"&amp;EDATE(A26,1),'Daily log'!J:J,"Up")</f>
        <v/>
      </c>
      <c r="I26" s="5">
        <f>COUNTIFS('Daily log'!A:A,"&gt;="&amp;A26,'Daily log'!A:A,"&lt;"&amp;EDATE(A26,1),'Daily log'!J:J,"Down")</f>
        <v/>
      </c>
      <c r="J26" s="5">
        <f>COUNTIFS('Daily log'!A:A,"&gt;="&amp;A26,'Daily log'!A:A,"&lt;"&amp;EDATE(A26,1))</f>
        <v/>
      </c>
      <c r="K26" s="5">
        <f>SUMIFS('Daily log'!R:R,'Daily log'!A:A,"&gt;="&amp;A26,'Daily log'!A:A,"&lt;"&amp;EDATE(A26,1))</f>
        <v/>
      </c>
      <c r="L26" s="9">
        <f>SUMIFS('Daily log'!U:U,'Daily log'!A:A,"&gt;="&amp;A26,'Daily log'!A:A,"&lt;"&amp;EDATE(A26,1))</f>
        <v/>
      </c>
    </row>
    <row r="27">
      <c r="A27" s="19" t="n">
        <v>45231</v>
      </c>
      <c r="B27" s="8">
        <f>INDEX('Daily log'!$C$2:$C$100000,MATCH(A27-1,'Daily log'!$A$2:$A$100000,1)+1)</f>
        <v/>
      </c>
      <c r="C27" s="8">
        <f>_xlfn.MAXIFS('Daily log'!D:D,'Daily log'!A:A,"&gt;="&amp;A27,'Daily log'!A:A,"&lt;"&amp;EDATE(A27,1))</f>
        <v/>
      </c>
      <c r="D27" s="8">
        <f>_xlfn.MINIFS('Daily log'!E:E,'Daily log'!A:A,"&gt;="&amp;A27,'Daily log'!A:A,"&lt;"&amp;EDATE(A27,1))</f>
        <v/>
      </c>
      <c r="E27" s="8">
        <f>INDEX('Daily log'!$F$2:$F$100000,MATCH(EDATE(A27,1)-1,'Daily log'!$A$2:$A$100000,1))</f>
        <v/>
      </c>
      <c r="F27" s="10">
        <f>IFERROR(E27/E26-1,E27/B27-1)</f>
        <v/>
      </c>
      <c r="G27" s="8">
        <f>IFERROR(AVERAGEIFS('Daily log'!I:I,'Daily log'!A:A,"&gt;="&amp;A27,'Daily log'!A:A,"&lt;"&amp;EDATE(A27,1)),"")</f>
        <v/>
      </c>
      <c r="H27" s="5">
        <f>COUNTIFS('Daily log'!A:A,"&gt;="&amp;A27,'Daily log'!A:A,"&lt;"&amp;EDATE(A27,1),'Daily log'!J:J,"Up")</f>
        <v/>
      </c>
      <c r="I27" s="5">
        <f>COUNTIFS('Daily log'!A:A,"&gt;="&amp;A27,'Daily log'!A:A,"&lt;"&amp;EDATE(A27,1),'Daily log'!J:J,"Down")</f>
        <v/>
      </c>
      <c r="J27" s="5">
        <f>COUNTIFS('Daily log'!A:A,"&gt;="&amp;A27,'Daily log'!A:A,"&lt;"&amp;EDATE(A27,1))</f>
        <v/>
      </c>
      <c r="K27" s="5">
        <f>SUMIFS('Daily log'!R:R,'Daily log'!A:A,"&gt;="&amp;A27,'Daily log'!A:A,"&lt;"&amp;EDATE(A27,1))</f>
        <v/>
      </c>
      <c r="L27" s="9">
        <f>SUMIFS('Daily log'!U:U,'Daily log'!A:A,"&gt;="&amp;A27,'Daily log'!A:A,"&lt;"&amp;EDATE(A27,1))</f>
        <v/>
      </c>
    </row>
    <row r="28">
      <c r="A28" s="19" t="n">
        <v>45261</v>
      </c>
      <c r="B28" s="8">
        <f>INDEX('Daily log'!$C$2:$C$100000,MATCH(A28-1,'Daily log'!$A$2:$A$100000,1)+1)</f>
        <v/>
      </c>
      <c r="C28" s="8">
        <f>_xlfn.MAXIFS('Daily log'!D:D,'Daily log'!A:A,"&gt;="&amp;A28,'Daily log'!A:A,"&lt;"&amp;EDATE(A28,1))</f>
        <v/>
      </c>
      <c r="D28" s="8">
        <f>_xlfn.MINIFS('Daily log'!E:E,'Daily log'!A:A,"&gt;="&amp;A28,'Daily log'!A:A,"&lt;"&amp;EDATE(A28,1))</f>
        <v/>
      </c>
      <c r="E28" s="8">
        <f>INDEX('Daily log'!$F$2:$F$100000,MATCH(EDATE(A28,1)-1,'Daily log'!$A$2:$A$100000,1))</f>
        <v/>
      </c>
      <c r="F28" s="10">
        <f>IFERROR(E28/E27-1,E28/B28-1)</f>
        <v/>
      </c>
      <c r="G28" s="8">
        <f>IFERROR(AVERAGEIFS('Daily log'!I:I,'Daily log'!A:A,"&gt;="&amp;A28,'Daily log'!A:A,"&lt;"&amp;EDATE(A28,1)),"")</f>
        <v/>
      </c>
      <c r="H28" s="5">
        <f>COUNTIFS('Daily log'!A:A,"&gt;="&amp;A28,'Daily log'!A:A,"&lt;"&amp;EDATE(A28,1),'Daily log'!J:J,"Up")</f>
        <v/>
      </c>
      <c r="I28" s="5">
        <f>COUNTIFS('Daily log'!A:A,"&gt;="&amp;A28,'Daily log'!A:A,"&lt;"&amp;EDATE(A28,1),'Daily log'!J:J,"Down")</f>
        <v/>
      </c>
      <c r="J28" s="5">
        <f>COUNTIFS('Daily log'!A:A,"&gt;="&amp;A28,'Daily log'!A:A,"&lt;"&amp;EDATE(A28,1))</f>
        <v/>
      </c>
      <c r="K28" s="5">
        <f>SUMIFS('Daily log'!R:R,'Daily log'!A:A,"&gt;="&amp;A28,'Daily log'!A:A,"&lt;"&amp;EDATE(A28,1))</f>
        <v/>
      </c>
      <c r="L28" s="9">
        <f>SUMIFS('Daily log'!U:U,'Daily log'!A:A,"&gt;="&amp;A28,'Daily log'!A:A,"&lt;"&amp;EDATE(A28,1))</f>
        <v/>
      </c>
    </row>
    <row r="29">
      <c r="A29" s="19" t="n">
        <v>45292</v>
      </c>
      <c r="B29" s="8">
        <f>INDEX('Daily log'!$C$2:$C$100000,MATCH(A29-1,'Daily log'!$A$2:$A$100000,1)+1)</f>
        <v/>
      </c>
      <c r="C29" s="8">
        <f>_xlfn.MAXIFS('Daily log'!D:D,'Daily log'!A:A,"&gt;="&amp;A29,'Daily log'!A:A,"&lt;"&amp;EDATE(A29,1))</f>
        <v/>
      </c>
      <c r="D29" s="8">
        <f>_xlfn.MINIFS('Daily log'!E:E,'Daily log'!A:A,"&gt;="&amp;A29,'Daily log'!A:A,"&lt;"&amp;EDATE(A29,1))</f>
        <v/>
      </c>
      <c r="E29" s="8">
        <f>INDEX('Daily log'!$F$2:$F$100000,MATCH(EDATE(A29,1)-1,'Daily log'!$A$2:$A$100000,1))</f>
        <v/>
      </c>
      <c r="F29" s="10">
        <f>IFERROR(E29/E28-1,E29/B29-1)</f>
        <v/>
      </c>
      <c r="G29" s="8">
        <f>IFERROR(AVERAGEIFS('Daily log'!I:I,'Daily log'!A:A,"&gt;="&amp;A29,'Daily log'!A:A,"&lt;"&amp;EDATE(A29,1)),"")</f>
        <v/>
      </c>
      <c r="H29" s="5">
        <f>COUNTIFS('Daily log'!A:A,"&gt;="&amp;A29,'Daily log'!A:A,"&lt;"&amp;EDATE(A29,1),'Daily log'!J:J,"Up")</f>
        <v/>
      </c>
      <c r="I29" s="5">
        <f>COUNTIFS('Daily log'!A:A,"&gt;="&amp;A29,'Daily log'!A:A,"&lt;"&amp;EDATE(A29,1),'Daily log'!J:J,"Down")</f>
        <v/>
      </c>
      <c r="J29" s="5">
        <f>COUNTIFS('Daily log'!A:A,"&gt;="&amp;A29,'Daily log'!A:A,"&lt;"&amp;EDATE(A29,1))</f>
        <v/>
      </c>
      <c r="K29" s="5">
        <f>SUMIFS('Daily log'!R:R,'Daily log'!A:A,"&gt;="&amp;A29,'Daily log'!A:A,"&lt;"&amp;EDATE(A29,1))</f>
        <v/>
      </c>
      <c r="L29" s="9">
        <f>SUMIFS('Daily log'!U:U,'Daily log'!A:A,"&gt;="&amp;A29,'Daily log'!A:A,"&lt;"&amp;EDATE(A29,1))</f>
        <v/>
      </c>
    </row>
    <row r="30">
      <c r="A30" s="19" t="n">
        <v>45323</v>
      </c>
      <c r="B30" s="8">
        <f>INDEX('Daily log'!$C$2:$C$100000,MATCH(A30-1,'Daily log'!$A$2:$A$100000,1)+1)</f>
        <v/>
      </c>
      <c r="C30" s="8">
        <f>_xlfn.MAXIFS('Daily log'!D:D,'Daily log'!A:A,"&gt;="&amp;A30,'Daily log'!A:A,"&lt;"&amp;EDATE(A30,1))</f>
        <v/>
      </c>
      <c r="D30" s="8">
        <f>_xlfn.MINIFS('Daily log'!E:E,'Daily log'!A:A,"&gt;="&amp;A30,'Daily log'!A:A,"&lt;"&amp;EDATE(A30,1))</f>
        <v/>
      </c>
      <c r="E30" s="8">
        <f>INDEX('Daily log'!$F$2:$F$100000,MATCH(EDATE(A30,1)-1,'Daily log'!$A$2:$A$100000,1))</f>
        <v/>
      </c>
      <c r="F30" s="10">
        <f>IFERROR(E30/E29-1,E30/B30-1)</f>
        <v/>
      </c>
      <c r="G30" s="8">
        <f>IFERROR(AVERAGEIFS('Daily log'!I:I,'Daily log'!A:A,"&gt;="&amp;A30,'Daily log'!A:A,"&lt;"&amp;EDATE(A30,1)),"")</f>
        <v/>
      </c>
      <c r="H30" s="5">
        <f>COUNTIFS('Daily log'!A:A,"&gt;="&amp;A30,'Daily log'!A:A,"&lt;"&amp;EDATE(A30,1),'Daily log'!J:J,"Up")</f>
        <v/>
      </c>
      <c r="I30" s="5">
        <f>COUNTIFS('Daily log'!A:A,"&gt;="&amp;A30,'Daily log'!A:A,"&lt;"&amp;EDATE(A30,1),'Daily log'!J:J,"Down")</f>
        <v/>
      </c>
      <c r="J30" s="5">
        <f>COUNTIFS('Daily log'!A:A,"&gt;="&amp;A30,'Daily log'!A:A,"&lt;"&amp;EDATE(A30,1))</f>
        <v/>
      </c>
      <c r="K30" s="5">
        <f>SUMIFS('Daily log'!R:R,'Daily log'!A:A,"&gt;="&amp;A30,'Daily log'!A:A,"&lt;"&amp;EDATE(A30,1))</f>
        <v/>
      </c>
      <c r="L30" s="9">
        <f>SUMIFS('Daily log'!U:U,'Daily log'!A:A,"&gt;="&amp;A30,'Daily log'!A:A,"&lt;"&amp;EDATE(A30,1))</f>
        <v/>
      </c>
    </row>
    <row r="31">
      <c r="A31" s="19" t="n">
        <v>45352</v>
      </c>
      <c r="B31" s="8">
        <f>INDEX('Daily log'!$C$2:$C$100000,MATCH(A31-1,'Daily log'!$A$2:$A$100000,1)+1)</f>
        <v/>
      </c>
      <c r="C31" s="8">
        <f>_xlfn.MAXIFS('Daily log'!D:D,'Daily log'!A:A,"&gt;="&amp;A31,'Daily log'!A:A,"&lt;"&amp;EDATE(A31,1))</f>
        <v/>
      </c>
      <c r="D31" s="8">
        <f>_xlfn.MINIFS('Daily log'!E:E,'Daily log'!A:A,"&gt;="&amp;A31,'Daily log'!A:A,"&lt;"&amp;EDATE(A31,1))</f>
        <v/>
      </c>
      <c r="E31" s="8">
        <f>INDEX('Daily log'!$F$2:$F$100000,MATCH(EDATE(A31,1)-1,'Daily log'!$A$2:$A$100000,1))</f>
        <v/>
      </c>
      <c r="F31" s="10">
        <f>IFERROR(E31/E30-1,E31/B31-1)</f>
        <v/>
      </c>
      <c r="G31" s="8">
        <f>IFERROR(AVERAGEIFS('Daily log'!I:I,'Daily log'!A:A,"&gt;="&amp;A31,'Daily log'!A:A,"&lt;"&amp;EDATE(A31,1)),"")</f>
        <v/>
      </c>
      <c r="H31" s="5">
        <f>COUNTIFS('Daily log'!A:A,"&gt;="&amp;A31,'Daily log'!A:A,"&lt;"&amp;EDATE(A31,1),'Daily log'!J:J,"Up")</f>
        <v/>
      </c>
      <c r="I31" s="5">
        <f>COUNTIFS('Daily log'!A:A,"&gt;="&amp;A31,'Daily log'!A:A,"&lt;"&amp;EDATE(A31,1),'Daily log'!J:J,"Down")</f>
        <v/>
      </c>
      <c r="J31" s="5">
        <f>COUNTIFS('Daily log'!A:A,"&gt;="&amp;A31,'Daily log'!A:A,"&lt;"&amp;EDATE(A31,1))</f>
        <v/>
      </c>
      <c r="K31" s="5">
        <f>SUMIFS('Daily log'!R:R,'Daily log'!A:A,"&gt;="&amp;A31,'Daily log'!A:A,"&lt;"&amp;EDATE(A31,1))</f>
        <v/>
      </c>
      <c r="L31" s="9">
        <f>SUMIFS('Daily log'!U:U,'Daily log'!A:A,"&gt;="&amp;A31,'Daily log'!A:A,"&lt;"&amp;EDATE(A31,1))</f>
        <v/>
      </c>
    </row>
    <row r="32">
      <c r="A32" s="19" t="n">
        <v>45383</v>
      </c>
      <c r="B32" s="8">
        <f>INDEX('Daily log'!$C$2:$C$100000,MATCH(A32-1,'Daily log'!$A$2:$A$100000,1)+1)</f>
        <v/>
      </c>
      <c r="C32" s="8">
        <f>_xlfn.MAXIFS('Daily log'!D:D,'Daily log'!A:A,"&gt;="&amp;A32,'Daily log'!A:A,"&lt;"&amp;EDATE(A32,1))</f>
        <v/>
      </c>
      <c r="D32" s="8">
        <f>_xlfn.MINIFS('Daily log'!E:E,'Daily log'!A:A,"&gt;="&amp;A32,'Daily log'!A:A,"&lt;"&amp;EDATE(A32,1))</f>
        <v/>
      </c>
      <c r="E32" s="8">
        <f>INDEX('Daily log'!$F$2:$F$100000,MATCH(EDATE(A32,1)-1,'Daily log'!$A$2:$A$100000,1))</f>
        <v/>
      </c>
      <c r="F32" s="10">
        <f>IFERROR(E32/E31-1,E32/B32-1)</f>
        <v/>
      </c>
      <c r="G32" s="8">
        <f>IFERROR(AVERAGEIFS('Daily log'!I:I,'Daily log'!A:A,"&gt;="&amp;A32,'Daily log'!A:A,"&lt;"&amp;EDATE(A32,1)),"")</f>
        <v/>
      </c>
      <c r="H32" s="5">
        <f>COUNTIFS('Daily log'!A:A,"&gt;="&amp;A32,'Daily log'!A:A,"&lt;"&amp;EDATE(A32,1),'Daily log'!J:J,"Up")</f>
        <v/>
      </c>
      <c r="I32" s="5">
        <f>COUNTIFS('Daily log'!A:A,"&gt;="&amp;A32,'Daily log'!A:A,"&lt;"&amp;EDATE(A32,1),'Daily log'!J:J,"Down")</f>
        <v/>
      </c>
      <c r="J32" s="5">
        <f>COUNTIFS('Daily log'!A:A,"&gt;="&amp;A32,'Daily log'!A:A,"&lt;"&amp;EDATE(A32,1))</f>
        <v/>
      </c>
      <c r="K32" s="5">
        <f>SUMIFS('Daily log'!R:R,'Daily log'!A:A,"&gt;="&amp;A32,'Daily log'!A:A,"&lt;"&amp;EDATE(A32,1))</f>
        <v/>
      </c>
      <c r="L32" s="9">
        <f>SUMIFS('Daily log'!U:U,'Daily log'!A:A,"&gt;="&amp;A32,'Daily log'!A:A,"&lt;"&amp;EDATE(A32,1))</f>
        <v/>
      </c>
    </row>
    <row r="33">
      <c r="A33" s="19" t="n">
        <v>45413</v>
      </c>
      <c r="B33" s="8">
        <f>INDEX('Daily log'!$C$2:$C$100000,MATCH(A33-1,'Daily log'!$A$2:$A$100000,1)+1)</f>
        <v/>
      </c>
      <c r="C33" s="8">
        <f>_xlfn.MAXIFS('Daily log'!D:D,'Daily log'!A:A,"&gt;="&amp;A33,'Daily log'!A:A,"&lt;"&amp;EDATE(A33,1))</f>
        <v/>
      </c>
      <c r="D33" s="8">
        <f>_xlfn.MINIFS('Daily log'!E:E,'Daily log'!A:A,"&gt;="&amp;A33,'Daily log'!A:A,"&lt;"&amp;EDATE(A33,1))</f>
        <v/>
      </c>
      <c r="E33" s="8">
        <f>INDEX('Daily log'!$F$2:$F$100000,MATCH(EDATE(A33,1)-1,'Daily log'!$A$2:$A$100000,1))</f>
        <v/>
      </c>
      <c r="F33" s="10">
        <f>IFERROR(E33/E32-1,E33/B33-1)</f>
        <v/>
      </c>
      <c r="G33" s="8">
        <f>IFERROR(AVERAGEIFS('Daily log'!I:I,'Daily log'!A:A,"&gt;="&amp;A33,'Daily log'!A:A,"&lt;"&amp;EDATE(A33,1)),"")</f>
        <v/>
      </c>
      <c r="H33" s="5">
        <f>COUNTIFS('Daily log'!A:A,"&gt;="&amp;A33,'Daily log'!A:A,"&lt;"&amp;EDATE(A33,1),'Daily log'!J:J,"Up")</f>
        <v/>
      </c>
      <c r="I33" s="5">
        <f>COUNTIFS('Daily log'!A:A,"&gt;="&amp;A33,'Daily log'!A:A,"&lt;"&amp;EDATE(A33,1),'Daily log'!J:J,"Down")</f>
        <v/>
      </c>
      <c r="J33" s="5">
        <f>COUNTIFS('Daily log'!A:A,"&gt;="&amp;A33,'Daily log'!A:A,"&lt;"&amp;EDATE(A33,1))</f>
        <v/>
      </c>
      <c r="K33" s="5">
        <f>SUMIFS('Daily log'!R:R,'Daily log'!A:A,"&gt;="&amp;A33,'Daily log'!A:A,"&lt;"&amp;EDATE(A33,1))</f>
        <v/>
      </c>
      <c r="L33" s="9">
        <f>SUMIFS('Daily log'!U:U,'Daily log'!A:A,"&gt;="&amp;A33,'Daily log'!A:A,"&lt;"&amp;EDATE(A33,1))</f>
        <v/>
      </c>
    </row>
    <row r="34">
      <c r="A34" s="19" t="n">
        <v>45444</v>
      </c>
      <c r="B34" s="8">
        <f>INDEX('Daily log'!$C$2:$C$100000,MATCH(A34-1,'Daily log'!$A$2:$A$100000,1)+1)</f>
        <v/>
      </c>
      <c r="C34" s="8">
        <f>_xlfn.MAXIFS('Daily log'!D:D,'Daily log'!A:A,"&gt;="&amp;A34,'Daily log'!A:A,"&lt;"&amp;EDATE(A34,1))</f>
        <v/>
      </c>
      <c r="D34" s="8">
        <f>_xlfn.MINIFS('Daily log'!E:E,'Daily log'!A:A,"&gt;="&amp;A34,'Daily log'!A:A,"&lt;"&amp;EDATE(A34,1))</f>
        <v/>
      </c>
      <c r="E34" s="8">
        <f>INDEX('Daily log'!$F$2:$F$100000,MATCH(EDATE(A34,1)-1,'Daily log'!$A$2:$A$100000,1))</f>
        <v/>
      </c>
      <c r="F34" s="10">
        <f>IFERROR(E34/E33-1,E34/B34-1)</f>
        <v/>
      </c>
      <c r="G34" s="8">
        <f>IFERROR(AVERAGEIFS('Daily log'!I:I,'Daily log'!A:A,"&gt;="&amp;A34,'Daily log'!A:A,"&lt;"&amp;EDATE(A34,1)),"")</f>
        <v/>
      </c>
      <c r="H34" s="5">
        <f>COUNTIFS('Daily log'!A:A,"&gt;="&amp;A34,'Daily log'!A:A,"&lt;"&amp;EDATE(A34,1),'Daily log'!J:J,"Up")</f>
        <v/>
      </c>
      <c r="I34" s="5">
        <f>COUNTIFS('Daily log'!A:A,"&gt;="&amp;A34,'Daily log'!A:A,"&lt;"&amp;EDATE(A34,1),'Daily log'!J:J,"Down")</f>
        <v/>
      </c>
      <c r="J34" s="5">
        <f>COUNTIFS('Daily log'!A:A,"&gt;="&amp;A34,'Daily log'!A:A,"&lt;"&amp;EDATE(A34,1))</f>
        <v/>
      </c>
      <c r="K34" s="5">
        <f>SUMIFS('Daily log'!R:R,'Daily log'!A:A,"&gt;="&amp;A34,'Daily log'!A:A,"&lt;"&amp;EDATE(A34,1))</f>
        <v/>
      </c>
      <c r="L34" s="9">
        <f>SUMIFS('Daily log'!U:U,'Daily log'!A:A,"&gt;="&amp;A34,'Daily log'!A:A,"&lt;"&amp;EDATE(A34,1))</f>
        <v/>
      </c>
    </row>
    <row r="35">
      <c r="A35" s="19" t="n">
        <v>45474</v>
      </c>
      <c r="B35" s="8">
        <f>INDEX('Daily log'!$C$2:$C$100000,MATCH(A35-1,'Daily log'!$A$2:$A$100000,1)+1)</f>
        <v/>
      </c>
      <c r="C35" s="8">
        <f>_xlfn.MAXIFS('Daily log'!D:D,'Daily log'!A:A,"&gt;="&amp;A35,'Daily log'!A:A,"&lt;"&amp;EDATE(A35,1))</f>
        <v/>
      </c>
      <c r="D35" s="8">
        <f>_xlfn.MINIFS('Daily log'!E:E,'Daily log'!A:A,"&gt;="&amp;A35,'Daily log'!A:A,"&lt;"&amp;EDATE(A35,1))</f>
        <v/>
      </c>
      <c r="E35" s="8">
        <f>INDEX('Daily log'!$F$2:$F$100000,MATCH(EDATE(A35,1)-1,'Daily log'!$A$2:$A$100000,1))</f>
        <v/>
      </c>
      <c r="F35" s="10">
        <f>IFERROR(E35/E34-1,E35/B35-1)</f>
        <v/>
      </c>
      <c r="G35" s="8">
        <f>IFERROR(AVERAGEIFS('Daily log'!I:I,'Daily log'!A:A,"&gt;="&amp;A35,'Daily log'!A:A,"&lt;"&amp;EDATE(A35,1)),"")</f>
        <v/>
      </c>
      <c r="H35" s="5">
        <f>COUNTIFS('Daily log'!A:A,"&gt;="&amp;A35,'Daily log'!A:A,"&lt;"&amp;EDATE(A35,1),'Daily log'!J:J,"Up")</f>
        <v/>
      </c>
      <c r="I35" s="5">
        <f>COUNTIFS('Daily log'!A:A,"&gt;="&amp;A35,'Daily log'!A:A,"&lt;"&amp;EDATE(A35,1),'Daily log'!J:J,"Down")</f>
        <v/>
      </c>
      <c r="J35" s="5">
        <f>COUNTIFS('Daily log'!A:A,"&gt;="&amp;A35,'Daily log'!A:A,"&lt;"&amp;EDATE(A35,1))</f>
        <v/>
      </c>
      <c r="K35" s="5">
        <f>SUMIFS('Daily log'!R:R,'Daily log'!A:A,"&gt;="&amp;A35,'Daily log'!A:A,"&lt;"&amp;EDATE(A35,1))</f>
        <v/>
      </c>
      <c r="L35" s="9">
        <f>SUMIFS('Daily log'!U:U,'Daily log'!A:A,"&gt;="&amp;A35,'Daily log'!A:A,"&lt;"&amp;EDATE(A35,1))</f>
        <v/>
      </c>
    </row>
    <row r="36">
      <c r="A36" s="19" t="n">
        <v>45505</v>
      </c>
      <c r="B36" s="8">
        <f>INDEX('Daily log'!$C$2:$C$100000,MATCH(A36-1,'Daily log'!$A$2:$A$100000,1)+1)</f>
        <v/>
      </c>
      <c r="C36" s="8">
        <f>_xlfn.MAXIFS('Daily log'!D:D,'Daily log'!A:A,"&gt;="&amp;A36,'Daily log'!A:A,"&lt;"&amp;EDATE(A36,1))</f>
        <v/>
      </c>
      <c r="D36" s="8">
        <f>_xlfn.MINIFS('Daily log'!E:E,'Daily log'!A:A,"&gt;="&amp;A36,'Daily log'!A:A,"&lt;"&amp;EDATE(A36,1))</f>
        <v/>
      </c>
      <c r="E36" s="8">
        <f>INDEX('Daily log'!$F$2:$F$100000,MATCH(EDATE(A36,1)-1,'Daily log'!$A$2:$A$100000,1))</f>
        <v/>
      </c>
      <c r="F36" s="10">
        <f>IFERROR(E36/E35-1,E36/B36-1)</f>
        <v/>
      </c>
      <c r="G36" s="8">
        <f>IFERROR(AVERAGEIFS('Daily log'!I:I,'Daily log'!A:A,"&gt;="&amp;A36,'Daily log'!A:A,"&lt;"&amp;EDATE(A36,1)),"")</f>
        <v/>
      </c>
      <c r="H36" s="5">
        <f>COUNTIFS('Daily log'!A:A,"&gt;="&amp;A36,'Daily log'!A:A,"&lt;"&amp;EDATE(A36,1),'Daily log'!J:J,"Up")</f>
        <v/>
      </c>
      <c r="I36" s="5">
        <f>COUNTIFS('Daily log'!A:A,"&gt;="&amp;A36,'Daily log'!A:A,"&lt;"&amp;EDATE(A36,1),'Daily log'!J:J,"Down")</f>
        <v/>
      </c>
      <c r="J36" s="5">
        <f>COUNTIFS('Daily log'!A:A,"&gt;="&amp;A36,'Daily log'!A:A,"&lt;"&amp;EDATE(A36,1))</f>
        <v/>
      </c>
      <c r="K36" s="5">
        <f>SUMIFS('Daily log'!R:R,'Daily log'!A:A,"&gt;="&amp;A36,'Daily log'!A:A,"&lt;"&amp;EDATE(A36,1))</f>
        <v/>
      </c>
      <c r="L36" s="9">
        <f>SUMIFS('Daily log'!U:U,'Daily log'!A:A,"&gt;="&amp;A36,'Daily log'!A:A,"&lt;"&amp;EDATE(A36,1))</f>
        <v/>
      </c>
    </row>
    <row r="37">
      <c r="A37" s="19" t="n">
        <v>45536</v>
      </c>
      <c r="B37" s="8">
        <f>INDEX('Daily log'!$C$2:$C$100000,MATCH(A37-1,'Daily log'!$A$2:$A$100000,1)+1)</f>
        <v/>
      </c>
      <c r="C37" s="8">
        <f>_xlfn.MAXIFS('Daily log'!D:D,'Daily log'!A:A,"&gt;="&amp;A37,'Daily log'!A:A,"&lt;"&amp;EDATE(A37,1))</f>
        <v/>
      </c>
      <c r="D37" s="8">
        <f>_xlfn.MINIFS('Daily log'!E:E,'Daily log'!A:A,"&gt;="&amp;A37,'Daily log'!A:A,"&lt;"&amp;EDATE(A37,1))</f>
        <v/>
      </c>
      <c r="E37" s="8">
        <f>INDEX('Daily log'!$F$2:$F$100000,MATCH(EDATE(A37,1)-1,'Daily log'!$A$2:$A$100000,1))</f>
        <v/>
      </c>
      <c r="F37" s="10">
        <f>IFERROR(E37/E36-1,E37/B37-1)</f>
        <v/>
      </c>
      <c r="G37" s="8">
        <f>IFERROR(AVERAGEIFS('Daily log'!I:I,'Daily log'!A:A,"&gt;="&amp;A37,'Daily log'!A:A,"&lt;"&amp;EDATE(A37,1)),"")</f>
        <v/>
      </c>
      <c r="H37" s="5">
        <f>COUNTIFS('Daily log'!A:A,"&gt;="&amp;A37,'Daily log'!A:A,"&lt;"&amp;EDATE(A37,1),'Daily log'!J:J,"Up")</f>
        <v/>
      </c>
      <c r="I37" s="5">
        <f>COUNTIFS('Daily log'!A:A,"&gt;="&amp;A37,'Daily log'!A:A,"&lt;"&amp;EDATE(A37,1),'Daily log'!J:J,"Down")</f>
        <v/>
      </c>
      <c r="J37" s="5">
        <f>COUNTIFS('Daily log'!A:A,"&gt;="&amp;A37,'Daily log'!A:A,"&lt;"&amp;EDATE(A37,1))</f>
        <v/>
      </c>
      <c r="K37" s="5">
        <f>SUMIFS('Daily log'!R:R,'Daily log'!A:A,"&gt;="&amp;A37,'Daily log'!A:A,"&lt;"&amp;EDATE(A37,1))</f>
        <v/>
      </c>
      <c r="L37" s="9">
        <f>SUMIFS('Daily log'!U:U,'Daily log'!A:A,"&gt;="&amp;A37,'Daily log'!A:A,"&lt;"&amp;EDATE(A37,1))</f>
        <v/>
      </c>
    </row>
    <row r="38">
      <c r="A38" s="19" t="n">
        <v>45566</v>
      </c>
      <c r="B38" s="8">
        <f>INDEX('Daily log'!$C$2:$C$100000,MATCH(A38-1,'Daily log'!$A$2:$A$100000,1)+1)</f>
        <v/>
      </c>
      <c r="C38" s="8">
        <f>_xlfn.MAXIFS('Daily log'!D:D,'Daily log'!A:A,"&gt;="&amp;A38,'Daily log'!A:A,"&lt;"&amp;EDATE(A38,1))</f>
        <v/>
      </c>
      <c r="D38" s="8">
        <f>_xlfn.MINIFS('Daily log'!E:E,'Daily log'!A:A,"&gt;="&amp;A38,'Daily log'!A:A,"&lt;"&amp;EDATE(A38,1))</f>
        <v/>
      </c>
      <c r="E38" s="8">
        <f>INDEX('Daily log'!$F$2:$F$100000,MATCH(EDATE(A38,1)-1,'Daily log'!$A$2:$A$100000,1))</f>
        <v/>
      </c>
      <c r="F38" s="10">
        <f>IFERROR(E38/E37-1,E38/B38-1)</f>
        <v/>
      </c>
      <c r="G38" s="8">
        <f>IFERROR(AVERAGEIFS('Daily log'!I:I,'Daily log'!A:A,"&gt;="&amp;A38,'Daily log'!A:A,"&lt;"&amp;EDATE(A38,1)),"")</f>
        <v/>
      </c>
      <c r="H38" s="5">
        <f>COUNTIFS('Daily log'!A:A,"&gt;="&amp;A38,'Daily log'!A:A,"&lt;"&amp;EDATE(A38,1),'Daily log'!J:J,"Up")</f>
        <v/>
      </c>
      <c r="I38" s="5">
        <f>COUNTIFS('Daily log'!A:A,"&gt;="&amp;A38,'Daily log'!A:A,"&lt;"&amp;EDATE(A38,1),'Daily log'!J:J,"Down")</f>
        <v/>
      </c>
      <c r="J38" s="5">
        <f>COUNTIFS('Daily log'!A:A,"&gt;="&amp;A38,'Daily log'!A:A,"&lt;"&amp;EDATE(A38,1))</f>
        <v/>
      </c>
      <c r="K38" s="5">
        <f>SUMIFS('Daily log'!R:R,'Daily log'!A:A,"&gt;="&amp;A38,'Daily log'!A:A,"&lt;"&amp;EDATE(A38,1))</f>
        <v/>
      </c>
      <c r="L38" s="9">
        <f>SUMIFS('Daily log'!U:U,'Daily log'!A:A,"&gt;="&amp;A38,'Daily log'!A:A,"&lt;"&amp;EDATE(A38,1))</f>
        <v/>
      </c>
    </row>
    <row r="39">
      <c r="A39" s="19" t="n">
        <v>45597</v>
      </c>
      <c r="B39" s="8">
        <f>INDEX('Daily log'!$C$2:$C$100000,MATCH(A39-1,'Daily log'!$A$2:$A$100000,1)+1)</f>
        <v/>
      </c>
      <c r="C39" s="8">
        <f>_xlfn.MAXIFS('Daily log'!D:D,'Daily log'!A:A,"&gt;="&amp;A39,'Daily log'!A:A,"&lt;"&amp;EDATE(A39,1))</f>
        <v/>
      </c>
      <c r="D39" s="8">
        <f>_xlfn.MINIFS('Daily log'!E:E,'Daily log'!A:A,"&gt;="&amp;A39,'Daily log'!A:A,"&lt;"&amp;EDATE(A39,1))</f>
        <v/>
      </c>
      <c r="E39" s="8">
        <f>INDEX('Daily log'!$F$2:$F$100000,MATCH(EDATE(A39,1)-1,'Daily log'!$A$2:$A$100000,1))</f>
        <v/>
      </c>
      <c r="F39" s="10">
        <f>IFERROR(E39/E38-1,E39/B39-1)</f>
        <v/>
      </c>
      <c r="G39" s="8">
        <f>IFERROR(AVERAGEIFS('Daily log'!I:I,'Daily log'!A:A,"&gt;="&amp;A39,'Daily log'!A:A,"&lt;"&amp;EDATE(A39,1)),"")</f>
        <v/>
      </c>
      <c r="H39" s="5">
        <f>COUNTIFS('Daily log'!A:A,"&gt;="&amp;A39,'Daily log'!A:A,"&lt;"&amp;EDATE(A39,1),'Daily log'!J:J,"Up")</f>
        <v/>
      </c>
      <c r="I39" s="5">
        <f>COUNTIFS('Daily log'!A:A,"&gt;="&amp;A39,'Daily log'!A:A,"&lt;"&amp;EDATE(A39,1),'Daily log'!J:J,"Down")</f>
        <v/>
      </c>
      <c r="J39" s="5">
        <f>COUNTIFS('Daily log'!A:A,"&gt;="&amp;A39,'Daily log'!A:A,"&lt;"&amp;EDATE(A39,1))</f>
        <v/>
      </c>
      <c r="K39" s="5">
        <f>SUMIFS('Daily log'!R:R,'Daily log'!A:A,"&gt;="&amp;A39,'Daily log'!A:A,"&lt;"&amp;EDATE(A39,1))</f>
        <v/>
      </c>
      <c r="L39" s="9">
        <f>SUMIFS('Daily log'!U:U,'Daily log'!A:A,"&gt;="&amp;A39,'Daily log'!A:A,"&lt;"&amp;EDATE(A39,1))</f>
        <v/>
      </c>
    </row>
    <row r="40">
      <c r="A40" s="19" t="n">
        <v>45627</v>
      </c>
      <c r="B40" s="8">
        <f>INDEX('Daily log'!$C$2:$C$100000,MATCH(A40-1,'Daily log'!$A$2:$A$100000,1)+1)</f>
        <v/>
      </c>
      <c r="C40" s="8">
        <f>_xlfn.MAXIFS('Daily log'!D:D,'Daily log'!A:A,"&gt;="&amp;A40,'Daily log'!A:A,"&lt;"&amp;EDATE(A40,1))</f>
        <v/>
      </c>
      <c r="D40" s="8">
        <f>_xlfn.MINIFS('Daily log'!E:E,'Daily log'!A:A,"&gt;="&amp;A40,'Daily log'!A:A,"&lt;"&amp;EDATE(A40,1))</f>
        <v/>
      </c>
      <c r="E40" s="8">
        <f>INDEX('Daily log'!$F$2:$F$100000,MATCH(EDATE(A40,1)-1,'Daily log'!$A$2:$A$100000,1))</f>
        <v/>
      </c>
      <c r="F40" s="10">
        <f>IFERROR(E40/E39-1,E40/B40-1)</f>
        <v/>
      </c>
      <c r="G40" s="8">
        <f>IFERROR(AVERAGEIFS('Daily log'!I:I,'Daily log'!A:A,"&gt;="&amp;A40,'Daily log'!A:A,"&lt;"&amp;EDATE(A40,1)),"")</f>
        <v/>
      </c>
      <c r="H40" s="5">
        <f>COUNTIFS('Daily log'!A:A,"&gt;="&amp;A40,'Daily log'!A:A,"&lt;"&amp;EDATE(A40,1),'Daily log'!J:J,"Up")</f>
        <v/>
      </c>
      <c r="I40" s="5">
        <f>COUNTIFS('Daily log'!A:A,"&gt;="&amp;A40,'Daily log'!A:A,"&lt;"&amp;EDATE(A40,1),'Daily log'!J:J,"Down")</f>
        <v/>
      </c>
      <c r="J40" s="5">
        <f>COUNTIFS('Daily log'!A:A,"&gt;="&amp;A40,'Daily log'!A:A,"&lt;"&amp;EDATE(A40,1))</f>
        <v/>
      </c>
      <c r="K40" s="5">
        <f>SUMIFS('Daily log'!R:R,'Daily log'!A:A,"&gt;="&amp;A40,'Daily log'!A:A,"&lt;"&amp;EDATE(A40,1))</f>
        <v/>
      </c>
      <c r="L40" s="9">
        <f>SUMIFS('Daily log'!U:U,'Daily log'!A:A,"&gt;="&amp;A40,'Daily log'!A:A,"&lt;"&amp;EDATE(A40,1))</f>
        <v/>
      </c>
    </row>
    <row r="41">
      <c r="A41" s="19" t="n">
        <v>45658</v>
      </c>
      <c r="B41" s="8">
        <f>INDEX('Daily log'!$C$2:$C$100000,MATCH(A41-1,'Daily log'!$A$2:$A$100000,1)+1)</f>
        <v/>
      </c>
      <c r="C41" s="8">
        <f>_xlfn.MAXIFS('Daily log'!D:D,'Daily log'!A:A,"&gt;="&amp;A41,'Daily log'!A:A,"&lt;"&amp;EDATE(A41,1))</f>
        <v/>
      </c>
      <c r="D41" s="8">
        <f>_xlfn.MINIFS('Daily log'!E:E,'Daily log'!A:A,"&gt;="&amp;A41,'Daily log'!A:A,"&lt;"&amp;EDATE(A41,1))</f>
        <v/>
      </c>
      <c r="E41" s="8">
        <f>INDEX('Daily log'!$F$2:$F$100000,MATCH(EDATE(A41,1)-1,'Daily log'!$A$2:$A$100000,1))</f>
        <v/>
      </c>
      <c r="F41" s="10">
        <f>IFERROR(E41/E40-1,E41/B41-1)</f>
        <v/>
      </c>
      <c r="G41" s="8">
        <f>IFERROR(AVERAGEIFS('Daily log'!I:I,'Daily log'!A:A,"&gt;="&amp;A41,'Daily log'!A:A,"&lt;"&amp;EDATE(A41,1)),"")</f>
        <v/>
      </c>
      <c r="H41" s="5">
        <f>COUNTIFS('Daily log'!A:A,"&gt;="&amp;A41,'Daily log'!A:A,"&lt;"&amp;EDATE(A41,1),'Daily log'!J:J,"Up")</f>
        <v/>
      </c>
      <c r="I41" s="5">
        <f>COUNTIFS('Daily log'!A:A,"&gt;="&amp;A41,'Daily log'!A:A,"&lt;"&amp;EDATE(A41,1),'Daily log'!J:J,"Down")</f>
        <v/>
      </c>
      <c r="J41" s="5">
        <f>COUNTIFS('Daily log'!A:A,"&gt;="&amp;A41,'Daily log'!A:A,"&lt;"&amp;EDATE(A41,1))</f>
        <v/>
      </c>
      <c r="K41" s="5">
        <f>SUMIFS('Daily log'!R:R,'Daily log'!A:A,"&gt;="&amp;A41,'Daily log'!A:A,"&lt;"&amp;EDATE(A41,1))</f>
        <v/>
      </c>
      <c r="L41" s="9">
        <f>SUMIFS('Daily log'!U:U,'Daily log'!A:A,"&gt;="&amp;A41,'Daily log'!A:A,"&lt;"&amp;EDATE(A41,1))</f>
        <v/>
      </c>
    </row>
    <row r="42">
      <c r="A42" s="19" t="n">
        <v>45689</v>
      </c>
      <c r="B42" s="8">
        <f>INDEX('Daily log'!$C$2:$C$100000,MATCH(A42-1,'Daily log'!$A$2:$A$100000,1)+1)</f>
        <v/>
      </c>
      <c r="C42" s="8">
        <f>_xlfn.MAXIFS('Daily log'!D:D,'Daily log'!A:A,"&gt;="&amp;A42,'Daily log'!A:A,"&lt;"&amp;EDATE(A42,1))</f>
        <v/>
      </c>
      <c r="D42" s="8">
        <f>_xlfn.MINIFS('Daily log'!E:E,'Daily log'!A:A,"&gt;="&amp;A42,'Daily log'!A:A,"&lt;"&amp;EDATE(A42,1))</f>
        <v/>
      </c>
      <c r="E42" s="8">
        <f>INDEX('Daily log'!$F$2:$F$100000,MATCH(EDATE(A42,1)-1,'Daily log'!$A$2:$A$100000,1))</f>
        <v/>
      </c>
      <c r="F42" s="10">
        <f>IFERROR(E42/E41-1,E42/B42-1)</f>
        <v/>
      </c>
      <c r="G42" s="8">
        <f>IFERROR(AVERAGEIFS('Daily log'!I:I,'Daily log'!A:A,"&gt;="&amp;A42,'Daily log'!A:A,"&lt;"&amp;EDATE(A42,1)),"")</f>
        <v/>
      </c>
      <c r="H42" s="5">
        <f>COUNTIFS('Daily log'!A:A,"&gt;="&amp;A42,'Daily log'!A:A,"&lt;"&amp;EDATE(A42,1),'Daily log'!J:J,"Up")</f>
        <v/>
      </c>
      <c r="I42" s="5">
        <f>COUNTIFS('Daily log'!A:A,"&gt;="&amp;A42,'Daily log'!A:A,"&lt;"&amp;EDATE(A42,1),'Daily log'!J:J,"Down")</f>
        <v/>
      </c>
      <c r="J42" s="5">
        <f>COUNTIFS('Daily log'!A:A,"&gt;="&amp;A42,'Daily log'!A:A,"&lt;"&amp;EDATE(A42,1))</f>
        <v/>
      </c>
      <c r="K42" s="5">
        <f>SUMIFS('Daily log'!R:R,'Daily log'!A:A,"&gt;="&amp;A42,'Daily log'!A:A,"&lt;"&amp;EDATE(A42,1))</f>
        <v/>
      </c>
      <c r="L42" s="9">
        <f>SUMIFS('Daily log'!U:U,'Daily log'!A:A,"&gt;="&amp;A42,'Daily log'!A:A,"&lt;"&amp;EDATE(A42,1))</f>
        <v/>
      </c>
    </row>
    <row r="43">
      <c r="A43" s="19" t="n">
        <v>45717</v>
      </c>
      <c r="B43" s="8">
        <f>INDEX('Daily log'!$C$2:$C$100000,MATCH(A43-1,'Daily log'!$A$2:$A$100000,1)+1)</f>
        <v/>
      </c>
      <c r="C43" s="8">
        <f>_xlfn.MAXIFS('Daily log'!D:D,'Daily log'!A:A,"&gt;="&amp;A43,'Daily log'!A:A,"&lt;"&amp;EDATE(A43,1))</f>
        <v/>
      </c>
      <c r="D43" s="8">
        <f>_xlfn.MINIFS('Daily log'!E:E,'Daily log'!A:A,"&gt;="&amp;A43,'Daily log'!A:A,"&lt;"&amp;EDATE(A43,1))</f>
        <v/>
      </c>
      <c r="E43" s="8">
        <f>INDEX('Daily log'!$F$2:$F$100000,MATCH(EDATE(A43,1)-1,'Daily log'!$A$2:$A$100000,1))</f>
        <v/>
      </c>
      <c r="F43" s="10">
        <f>IFERROR(E43/E42-1,E43/B43-1)</f>
        <v/>
      </c>
      <c r="G43" s="8">
        <f>IFERROR(AVERAGEIFS('Daily log'!I:I,'Daily log'!A:A,"&gt;="&amp;A43,'Daily log'!A:A,"&lt;"&amp;EDATE(A43,1)),"")</f>
        <v/>
      </c>
      <c r="H43" s="5">
        <f>COUNTIFS('Daily log'!A:A,"&gt;="&amp;A43,'Daily log'!A:A,"&lt;"&amp;EDATE(A43,1),'Daily log'!J:J,"Up")</f>
        <v/>
      </c>
      <c r="I43" s="5">
        <f>COUNTIFS('Daily log'!A:A,"&gt;="&amp;A43,'Daily log'!A:A,"&lt;"&amp;EDATE(A43,1),'Daily log'!J:J,"Down")</f>
        <v/>
      </c>
      <c r="J43" s="5">
        <f>COUNTIFS('Daily log'!A:A,"&gt;="&amp;A43,'Daily log'!A:A,"&lt;"&amp;EDATE(A43,1))</f>
        <v/>
      </c>
      <c r="K43" s="5">
        <f>SUMIFS('Daily log'!R:R,'Daily log'!A:A,"&gt;="&amp;A43,'Daily log'!A:A,"&lt;"&amp;EDATE(A43,1))</f>
        <v/>
      </c>
      <c r="L43" s="9">
        <f>SUMIFS('Daily log'!U:U,'Daily log'!A:A,"&gt;="&amp;A43,'Daily log'!A:A,"&lt;"&amp;EDATE(A43,1))</f>
        <v/>
      </c>
    </row>
    <row r="44">
      <c r="A44" s="19" t="n">
        <v>45748</v>
      </c>
      <c r="B44" s="8">
        <f>INDEX('Daily log'!$C$2:$C$100000,MATCH(A44-1,'Daily log'!$A$2:$A$100000,1)+1)</f>
        <v/>
      </c>
      <c r="C44" s="8">
        <f>_xlfn.MAXIFS('Daily log'!D:D,'Daily log'!A:A,"&gt;="&amp;A44,'Daily log'!A:A,"&lt;"&amp;EDATE(A44,1))</f>
        <v/>
      </c>
      <c r="D44" s="8">
        <f>_xlfn.MINIFS('Daily log'!E:E,'Daily log'!A:A,"&gt;="&amp;A44,'Daily log'!A:A,"&lt;"&amp;EDATE(A44,1))</f>
        <v/>
      </c>
      <c r="E44" s="8">
        <f>INDEX('Daily log'!$F$2:$F$100000,MATCH(EDATE(A44,1)-1,'Daily log'!$A$2:$A$100000,1))</f>
        <v/>
      </c>
      <c r="F44" s="10">
        <f>IFERROR(E44/E43-1,E44/B44-1)</f>
        <v/>
      </c>
      <c r="G44" s="8">
        <f>IFERROR(AVERAGEIFS('Daily log'!I:I,'Daily log'!A:A,"&gt;="&amp;A44,'Daily log'!A:A,"&lt;"&amp;EDATE(A44,1)),"")</f>
        <v/>
      </c>
      <c r="H44" s="5">
        <f>COUNTIFS('Daily log'!A:A,"&gt;="&amp;A44,'Daily log'!A:A,"&lt;"&amp;EDATE(A44,1),'Daily log'!J:J,"Up")</f>
        <v/>
      </c>
      <c r="I44" s="5">
        <f>COUNTIFS('Daily log'!A:A,"&gt;="&amp;A44,'Daily log'!A:A,"&lt;"&amp;EDATE(A44,1),'Daily log'!J:J,"Down")</f>
        <v/>
      </c>
      <c r="J44" s="5">
        <f>COUNTIFS('Daily log'!A:A,"&gt;="&amp;A44,'Daily log'!A:A,"&lt;"&amp;EDATE(A44,1))</f>
        <v/>
      </c>
      <c r="K44" s="5">
        <f>SUMIFS('Daily log'!R:R,'Daily log'!A:A,"&gt;="&amp;A44,'Daily log'!A:A,"&lt;"&amp;EDATE(A44,1))</f>
        <v/>
      </c>
      <c r="L44" s="9">
        <f>SUMIFS('Daily log'!U:U,'Daily log'!A:A,"&gt;="&amp;A44,'Daily log'!A:A,"&lt;"&amp;EDATE(A44,1))</f>
        <v/>
      </c>
    </row>
    <row r="45">
      <c r="A45" s="19" t="n">
        <v>45778</v>
      </c>
      <c r="B45" s="8">
        <f>INDEX('Daily log'!$C$2:$C$100000,MATCH(A45-1,'Daily log'!$A$2:$A$100000,1)+1)</f>
        <v/>
      </c>
      <c r="C45" s="8">
        <f>_xlfn.MAXIFS('Daily log'!D:D,'Daily log'!A:A,"&gt;="&amp;A45,'Daily log'!A:A,"&lt;"&amp;EDATE(A45,1))</f>
        <v/>
      </c>
      <c r="D45" s="8">
        <f>_xlfn.MINIFS('Daily log'!E:E,'Daily log'!A:A,"&gt;="&amp;A45,'Daily log'!A:A,"&lt;"&amp;EDATE(A45,1))</f>
        <v/>
      </c>
      <c r="E45" s="8">
        <f>INDEX('Daily log'!$F$2:$F$100000,MATCH(EDATE(A45,1)-1,'Daily log'!$A$2:$A$100000,1))</f>
        <v/>
      </c>
      <c r="F45" s="10">
        <f>IFERROR(E45/E44-1,E45/B45-1)</f>
        <v/>
      </c>
      <c r="G45" s="8">
        <f>IFERROR(AVERAGEIFS('Daily log'!I:I,'Daily log'!A:A,"&gt;="&amp;A45,'Daily log'!A:A,"&lt;"&amp;EDATE(A45,1)),"")</f>
        <v/>
      </c>
      <c r="H45" s="5">
        <f>COUNTIFS('Daily log'!A:A,"&gt;="&amp;A45,'Daily log'!A:A,"&lt;"&amp;EDATE(A45,1),'Daily log'!J:J,"Up")</f>
        <v/>
      </c>
      <c r="I45" s="5">
        <f>COUNTIFS('Daily log'!A:A,"&gt;="&amp;A45,'Daily log'!A:A,"&lt;"&amp;EDATE(A45,1),'Daily log'!J:J,"Down")</f>
        <v/>
      </c>
      <c r="J45" s="5">
        <f>COUNTIFS('Daily log'!A:A,"&gt;="&amp;A45,'Daily log'!A:A,"&lt;"&amp;EDATE(A45,1))</f>
        <v/>
      </c>
      <c r="K45" s="5">
        <f>SUMIFS('Daily log'!R:R,'Daily log'!A:A,"&gt;="&amp;A45,'Daily log'!A:A,"&lt;"&amp;EDATE(A45,1))</f>
        <v/>
      </c>
      <c r="L45" s="9">
        <f>SUMIFS('Daily log'!U:U,'Daily log'!A:A,"&gt;="&amp;A45,'Daily log'!A:A,"&lt;"&amp;EDATE(A45,1))</f>
        <v/>
      </c>
    </row>
    <row r="46">
      <c r="A46" s="19" t="n">
        <v>45809</v>
      </c>
      <c r="B46" s="8">
        <f>INDEX('Daily log'!$C$2:$C$100000,MATCH(A46-1,'Daily log'!$A$2:$A$100000,1)+1)</f>
        <v/>
      </c>
      <c r="C46" s="8">
        <f>_xlfn.MAXIFS('Daily log'!D:D,'Daily log'!A:A,"&gt;="&amp;A46,'Daily log'!A:A,"&lt;"&amp;EDATE(A46,1))</f>
        <v/>
      </c>
      <c r="D46" s="8">
        <f>_xlfn.MINIFS('Daily log'!E:E,'Daily log'!A:A,"&gt;="&amp;A46,'Daily log'!A:A,"&lt;"&amp;EDATE(A46,1))</f>
        <v/>
      </c>
      <c r="E46" s="8">
        <f>INDEX('Daily log'!$F$2:$F$100000,MATCH(EDATE(A46,1)-1,'Daily log'!$A$2:$A$100000,1))</f>
        <v/>
      </c>
      <c r="F46" s="10">
        <f>IFERROR(E46/E45-1,E46/B46-1)</f>
        <v/>
      </c>
      <c r="G46" s="8">
        <f>IFERROR(AVERAGEIFS('Daily log'!I:I,'Daily log'!A:A,"&gt;="&amp;A46,'Daily log'!A:A,"&lt;"&amp;EDATE(A46,1)),"")</f>
        <v/>
      </c>
      <c r="H46" s="5">
        <f>COUNTIFS('Daily log'!A:A,"&gt;="&amp;A46,'Daily log'!A:A,"&lt;"&amp;EDATE(A46,1),'Daily log'!J:J,"Up")</f>
        <v/>
      </c>
      <c r="I46" s="5">
        <f>COUNTIFS('Daily log'!A:A,"&gt;="&amp;A46,'Daily log'!A:A,"&lt;"&amp;EDATE(A46,1),'Daily log'!J:J,"Down")</f>
        <v/>
      </c>
      <c r="J46" s="5">
        <f>COUNTIFS('Daily log'!A:A,"&gt;="&amp;A46,'Daily log'!A:A,"&lt;"&amp;EDATE(A46,1))</f>
        <v/>
      </c>
      <c r="K46" s="5">
        <f>SUMIFS('Daily log'!R:R,'Daily log'!A:A,"&gt;="&amp;A46,'Daily log'!A:A,"&lt;"&amp;EDATE(A46,1))</f>
        <v/>
      </c>
      <c r="L46" s="9">
        <f>SUMIFS('Daily log'!U:U,'Daily log'!A:A,"&gt;="&amp;A46,'Daily log'!A:A,"&lt;"&amp;EDATE(A46,1))</f>
        <v/>
      </c>
    </row>
    <row r="47">
      <c r="A47" s="19" t="n">
        <v>45839</v>
      </c>
      <c r="B47" s="8">
        <f>INDEX('Daily log'!$C$2:$C$100000,MATCH(A47-1,'Daily log'!$A$2:$A$100000,1)+1)</f>
        <v/>
      </c>
      <c r="C47" s="8">
        <f>_xlfn.MAXIFS('Daily log'!D:D,'Daily log'!A:A,"&gt;="&amp;A47,'Daily log'!A:A,"&lt;"&amp;EDATE(A47,1))</f>
        <v/>
      </c>
      <c r="D47" s="8">
        <f>_xlfn.MINIFS('Daily log'!E:E,'Daily log'!A:A,"&gt;="&amp;A47,'Daily log'!A:A,"&lt;"&amp;EDATE(A47,1))</f>
        <v/>
      </c>
      <c r="E47" s="8">
        <f>INDEX('Daily log'!$F$2:$F$100000,MATCH(EDATE(A47,1)-1,'Daily log'!$A$2:$A$100000,1))</f>
        <v/>
      </c>
      <c r="F47" s="10">
        <f>IFERROR(E47/E46-1,E47/B47-1)</f>
        <v/>
      </c>
      <c r="G47" s="8">
        <f>IFERROR(AVERAGEIFS('Daily log'!I:I,'Daily log'!A:A,"&gt;="&amp;A47,'Daily log'!A:A,"&lt;"&amp;EDATE(A47,1)),"")</f>
        <v/>
      </c>
      <c r="H47" s="5">
        <f>COUNTIFS('Daily log'!A:A,"&gt;="&amp;A47,'Daily log'!A:A,"&lt;"&amp;EDATE(A47,1),'Daily log'!J:J,"Up")</f>
        <v/>
      </c>
      <c r="I47" s="5">
        <f>COUNTIFS('Daily log'!A:A,"&gt;="&amp;A47,'Daily log'!A:A,"&lt;"&amp;EDATE(A47,1),'Daily log'!J:J,"Down")</f>
        <v/>
      </c>
      <c r="J47" s="5">
        <f>COUNTIFS('Daily log'!A:A,"&gt;="&amp;A47,'Daily log'!A:A,"&lt;"&amp;EDATE(A47,1))</f>
        <v/>
      </c>
      <c r="K47" s="5">
        <f>SUMIFS('Daily log'!R:R,'Daily log'!A:A,"&gt;="&amp;A47,'Daily log'!A:A,"&lt;"&amp;EDATE(A47,1))</f>
        <v/>
      </c>
      <c r="L47" s="9">
        <f>SUMIFS('Daily log'!U:U,'Daily log'!A:A,"&gt;="&amp;A47,'Daily log'!A:A,"&lt;"&amp;EDATE(A47,1))</f>
        <v/>
      </c>
    </row>
    <row r="48">
      <c r="A48" s="19" t="n">
        <v>45870</v>
      </c>
      <c r="B48" s="8">
        <f>INDEX('Daily log'!$C$2:$C$100000,MATCH(A48-1,'Daily log'!$A$2:$A$100000,1)+1)</f>
        <v/>
      </c>
      <c r="C48" s="8">
        <f>_xlfn.MAXIFS('Daily log'!D:D,'Daily log'!A:A,"&gt;="&amp;A48,'Daily log'!A:A,"&lt;"&amp;EDATE(A48,1))</f>
        <v/>
      </c>
      <c r="D48" s="8">
        <f>_xlfn.MINIFS('Daily log'!E:E,'Daily log'!A:A,"&gt;="&amp;A48,'Daily log'!A:A,"&lt;"&amp;EDATE(A48,1))</f>
        <v/>
      </c>
      <c r="E48" s="8">
        <f>INDEX('Daily log'!$F$2:$F$100000,MATCH(EDATE(A48,1)-1,'Daily log'!$A$2:$A$100000,1))</f>
        <v/>
      </c>
      <c r="F48" s="10">
        <f>IFERROR(E48/E47-1,E48/B48-1)</f>
        <v/>
      </c>
      <c r="G48" s="8">
        <f>IFERROR(AVERAGEIFS('Daily log'!I:I,'Daily log'!A:A,"&gt;="&amp;A48,'Daily log'!A:A,"&lt;"&amp;EDATE(A48,1)),"")</f>
        <v/>
      </c>
      <c r="H48" s="5">
        <f>COUNTIFS('Daily log'!A:A,"&gt;="&amp;A48,'Daily log'!A:A,"&lt;"&amp;EDATE(A48,1),'Daily log'!J:J,"Up")</f>
        <v/>
      </c>
      <c r="I48" s="5">
        <f>COUNTIFS('Daily log'!A:A,"&gt;="&amp;A48,'Daily log'!A:A,"&lt;"&amp;EDATE(A48,1),'Daily log'!J:J,"Down")</f>
        <v/>
      </c>
      <c r="J48" s="5">
        <f>COUNTIFS('Daily log'!A:A,"&gt;="&amp;A48,'Daily log'!A:A,"&lt;"&amp;EDATE(A48,1))</f>
        <v/>
      </c>
      <c r="K48" s="5">
        <f>SUMIFS('Daily log'!R:R,'Daily log'!A:A,"&gt;="&amp;A48,'Daily log'!A:A,"&lt;"&amp;EDATE(A48,1))</f>
        <v/>
      </c>
      <c r="L48" s="9">
        <f>SUMIFS('Daily log'!U:U,'Daily log'!A:A,"&gt;="&amp;A48,'Daily log'!A:A,"&lt;"&amp;EDATE(A48,1))</f>
        <v/>
      </c>
    </row>
    <row r="49">
      <c r="A49" s="19" t="n">
        <v>45901</v>
      </c>
      <c r="B49" s="8">
        <f>INDEX('Daily log'!$C$2:$C$100000,MATCH(A49-1,'Daily log'!$A$2:$A$100000,1)+1)</f>
        <v/>
      </c>
      <c r="C49" s="8">
        <f>_xlfn.MAXIFS('Daily log'!D:D,'Daily log'!A:A,"&gt;="&amp;A49,'Daily log'!A:A,"&lt;"&amp;EDATE(A49,1))</f>
        <v/>
      </c>
      <c r="D49" s="8">
        <f>_xlfn.MINIFS('Daily log'!E:E,'Daily log'!A:A,"&gt;="&amp;A49,'Daily log'!A:A,"&lt;"&amp;EDATE(A49,1))</f>
        <v/>
      </c>
      <c r="E49" s="8">
        <f>INDEX('Daily log'!$F$2:$F$100000,MATCH(EDATE(A49,1)-1,'Daily log'!$A$2:$A$100000,1))</f>
        <v/>
      </c>
      <c r="F49" s="10">
        <f>IFERROR(E49/E48-1,E49/B49-1)</f>
        <v/>
      </c>
      <c r="G49" s="8">
        <f>IFERROR(AVERAGEIFS('Daily log'!I:I,'Daily log'!A:A,"&gt;="&amp;A49,'Daily log'!A:A,"&lt;"&amp;EDATE(A49,1)),"")</f>
        <v/>
      </c>
      <c r="H49" s="5">
        <f>COUNTIFS('Daily log'!A:A,"&gt;="&amp;A49,'Daily log'!A:A,"&lt;"&amp;EDATE(A49,1),'Daily log'!J:J,"Up")</f>
        <v/>
      </c>
      <c r="I49" s="5">
        <f>COUNTIFS('Daily log'!A:A,"&gt;="&amp;A49,'Daily log'!A:A,"&lt;"&amp;EDATE(A49,1),'Daily log'!J:J,"Down")</f>
        <v/>
      </c>
      <c r="J49" s="5">
        <f>COUNTIFS('Daily log'!A:A,"&gt;="&amp;A49,'Daily log'!A:A,"&lt;"&amp;EDATE(A49,1))</f>
        <v/>
      </c>
      <c r="K49" s="5">
        <f>SUMIFS('Daily log'!R:R,'Daily log'!A:A,"&gt;="&amp;A49,'Daily log'!A:A,"&lt;"&amp;EDATE(A49,1))</f>
        <v/>
      </c>
      <c r="L49" s="9">
        <f>SUMIFS('Daily log'!U:U,'Daily log'!A:A,"&gt;="&amp;A49,'Daily log'!A:A,"&lt;"&amp;EDATE(A49,1))</f>
        <v/>
      </c>
    </row>
    <row r="50">
      <c r="A50" s="19" t="n">
        <v>45931</v>
      </c>
      <c r="B50" s="8">
        <f>INDEX('Daily log'!$C$2:$C$100000,MATCH(A50-1,'Daily log'!$A$2:$A$100000,1)+1)</f>
        <v/>
      </c>
      <c r="C50" s="8">
        <f>_xlfn.MAXIFS('Daily log'!D:D,'Daily log'!A:A,"&gt;="&amp;A50,'Daily log'!A:A,"&lt;"&amp;EDATE(A50,1))</f>
        <v/>
      </c>
      <c r="D50" s="8">
        <f>_xlfn.MINIFS('Daily log'!E:E,'Daily log'!A:A,"&gt;="&amp;A50,'Daily log'!A:A,"&lt;"&amp;EDATE(A50,1))</f>
        <v/>
      </c>
      <c r="E50" s="8">
        <f>INDEX('Daily log'!$F$2:$F$100000,MATCH(EDATE(A50,1)-1,'Daily log'!$A$2:$A$100000,1))</f>
        <v/>
      </c>
      <c r="F50" s="10">
        <f>IFERROR(E50/E49-1,E50/B50-1)</f>
        <v/>
      </c>
      <c r="G50" s="8">
        <f>IFERROR(AVERAGEIFS('Daily log'!I:I,'Daily log'!A:A,"&gt;="&amp;A50,'Daily log'!A:A,"&lt;"&amp;EDATE(A50,1)),"")</f>
        <v/>
      </c>
      <c r="H50" s="5">
        <f>COUNTIFS('Daily log'!A:A,"&gt;="&amp;A50,'Daily log'!A:A,"&lt;"&amp;EDATE(A50,1),'Daily log'!J:J,"Up")</f>
        <v/>
      </c>
      <c r="I50" s="5">
        <f>COUNTIFS('Daily log'!A:A,"&gt;="&amp;A50,'Daily log'!A:A,"&lt;"&amp;EDATE(A50,1),'Daily log'!J:J,"Down")</f>
        <v/>
      </c>
      <c r="J50" s="5">
        <f>COUNTIFS('Daily log'!A:A,"&gt;="&amp;A50,'Daily log'!A:A,"&lt;"&amp;EDATE(A50,1))</f>
        <v/>
      </c>
      <c r="K50" s="5">
        <f>SUMIFS('Daily log'!R:R,'Daily log'!A:A,"&gt;="&amp;A50,'Daily log'!A:A,"&lt;"&amp;EDATE(A50,1))</f>
        <v/>
      </c>
      <c r="L50" s="9">
        <f>SUMIFS('Daily log'!U:U,'Daily log'!A:A,"&gt;="&amp;A50,'Daily log'!A:A,"&lt;"&amp;EDATE(A50,1))</f>
        <v/>
      </c>
    </row>
    <row r="51">
      <c r="A51" s="19" t="n">
        <v>45962</v>
      </c>
      <c r="B51" s="8">
        <f>INDEX('Daily log'!$C$2:$C$100000,MATCH(A51-1,'Daily log'!$A$2:$A$100000,1)+1)</f>
        <v/>
      </c>
      <c r="C51" s="8">
        <f>_xlfn.MAXIFS('Daily log'!D:D,'Daily log'!A:A,"&gt;="&amp;A51,'Daily log'!A:A,"&lt;"&amp;EDATE(A51,1))</f>
        <v/>
      </c>
      <c r="D51" s="8">
        <f>_xlfn.MINIFS('Daily log'!E:E,'Daily log'!A:A,"&gt;="&amp;A51,'Daily log'!A:A,"&lt;"&amp;EDATE(A51,1))</f>
        <v/>
      </c>
      <c r="E51" s="8">
        <f>INDEX('Daily log'!$F$2:$F$100000,MATCH(EDATE(A51,1)-1,'Daily log'!$A$2:$A$100000,1))</f>
        <v/>
      </c>
      <c r="F51" s="10">
        <f>IFERROR(E51/E50-1,E51/B51-1)</f>
        <v/>
      </c>
      <c r="G51" s="8">
        <f>IFERROR(AVERAGEIFS('Daily log'!I:I,'Daily log'!A:A,"&gt;="&amp;A51,'Daily log'!A:A,"&lt;"&amp;EDATE(A51,1)),"")</f>
        <v/>
      </c>
      <c r="H51" s="5">
        <f>COUNTIFS('Daily log'!A:A,"&gt;="&amp;A51,'Daily log'!A:A,"&lt;"&amp;EDATE(A51,1),'Daily log'!J:J,"Up")</f>
        <v/>
      </c>
      <c r="I51" s="5">
        <f>COUNTIFS('Daily log'!A:A,"&gt;="&amp;A51,'Daily log'!A:A,"&lt;"&amp;EDATE(A51,1),'Daily log'!J:J,"Down")</f>
        <v/>
      </c>
      <c r="J51" s="5">
        <f>COUNTIFS('Daily log'!A:A,"&gt;="&amp;A51,'Daily log'!A:A,"&lt;"&amp;EDATE(A51,1))</f>
        <v/>
      </c>
      <c r="K51" s="5">
        <f>SUMIFS('Daily log'!R:R,'Daily log'!A:A,"&gt;="&amp;A51,'Daily log'!A:A,"&lt;"&amp;EDATE(A51,1))</f>
        <v/>
      </c>
      <c r="L51" s="9">
        <f>SUMIFS('Daily log'!U:U,'Daily log'!A:A,"&gt;="&amp;A51,'Daily log'!A:A,"&lt;"&amp;EDATE(A51,1))</f>
        <v/>
      </c>
    </row>
    <row r="52">
      <c r="A52" s="19" t="n">
        <v>45992</v>
      </c>
      <c r="B52" s="8">
        <f>INDEX('Daily log'!$C$2:$C$100000,MATCH(A52-1,'Daily log'!$A$2:$A$100000,1)+1)</f>
        <v/>
      </c>
      <c r="C52" s="8">
        <f>_xlfn.MAXIFS('Daily log'!D:D,'Daily log'!A:A,"&gt;="&amp;A52,'Daily log'!A:A,"&lt;"&amp;EDATE(A52,1))</f>
        <v/>
      </c>
      <c r="D52" s="8">
        <f>_xlfn.MINIFS('Daily log'!E:E,'Daily log'!A:A,"&gt;="&amp;A52,'Daily log'!A:A,"&lt;"&amp;EDATE(A52,1))</f>
        <v/>
      </c>
      <c r="E52" s="8">
        <f>INDEX('Daily log'!$F$2:$F$100000,MATCH(EDATE(A52,1)-1,'Daily log'!$A$2:$A$100000,1))</f>
        <v/>
      </c>
      <c r="F52" s="10">
        <f>IFERROR(E52/E51-1,E52/B52-1)</f>
        <v/>
      </c>
      <c r="G52" s="8">
        <f>IFERROR(AVERAGEIFS('Daily log'!I:I,'Daily log'!A:A,"&gt;="&amp;A52,'Daily log'!A:A,"&lt;"&amp;EDATE(A52,1)),"")</f>
        <v/>
      </c>
      <c r="H52" s="5">
        <f>COUNTIFS('Daily log'!A:A,"&gt;="&amp;A52,'Daily log'!A:A,"&lt;"&amp;EDATE(A52,1),'Daily log'!J:J,"Up")</f>
        <v/>
      </c>
      <c r="I52" s="5">
        <f>COUNTIFS('Daily log'!A:A,"&gt;="&amp;A52,'Daily log'!A:A,"&lt;"&amp;EDATE(A52,1),'Daily log'!J:J,"Down")</f>
        <v/>
      </c>
      <c r="J52" s="5">
        <f>COUNTIFS('Daily log'!A:A,"&gt;="&amp;A52,'Daily log'!A:A,"&lt;"&amp;EDATE(A52,1))</f>
        <v/>
      </c>
      <c r="K52" s="5">
        <f>SUMIFS('Daily log'!R:R,'Daily log'!A:A,"&gt;="&amp;A52,'Daily log'!A:A,"&lt;"&amp;EDATE(A52,1))</f>
        <v/>
      </c>
      <c r="L52" s="9">
        <f>SUMIFS('Daily log'!U:U,'Daily log'!A:A,"&gt;="&amp;A52,'Daily log'!A:A,"&lt;"&amp;EDATE(A52,1))</f>
        <v/>
      </c>
    </row>
    <row r="53">
      <c r="A53" s="19" t="n">
        <v>46023</v>
      </c>
      <c r="B53" s="8">
        <f>INDEX('Daily log'!$C$2:$C$100000,MATCH(A53-1,'Daily log'!$A$2:$A$100000,1)+1)</f>
        <v/>
      </c>
      <c r="C53" s="8">
        <f>_xlfn.MAXIFS('Daily log'!D:D,'Daily log'!A:A,"&gt;="&amp;A53,'Daily log'!A:A,"&lt;"&amp;EDATE(A53,1))</f>
        <v/>
      </c>
      <c r="D53" s="8">
        <f>_xlfn.MINIFS('Daily log'!E:E,'Daily log'!A:A,"&gt;="&amp;A53,'Daily log'!A:A,"&lt;"&amp;EDATE(A53,1))</f>
        <v/>
      </c>
      <c r="E53" s="8">
        <f>INDEX('Daily log'!$F$2:$F$100000,MATCH(EDATE(A53,1)-1,'Daily log'!$A$2:$A$100000,1))</f>
        <v/>
      </c>
      <c r="F53" s="10">
        <f>IFERROR(E53/E52-1,E53/B53-1)</f>
        <v/>
      </c>
      <c r="G53" s="8">
        <f>IFERROR(AVERAGEIFS('Daily log'!I:I,'Daily log'!A:A,"&gt;="&amp;A53,'Daily log'!A:A,"&lt;"&amp;EDATE(A53,1)),"")</f>
        <v/>
      </c>
      <c r="H53" s="5">
        <f>COUNTIFS('Daily log'!A:A,"&gt;="&amp;A53,'Daily log'!A:A,"&lt;"&amp;EDATE(A53,1),'Daily log'!J:J,"Up")</f>
        <v/>
      </c>
      <c r="I53" s="5">
        <f>COUNTIFS('Daily log'!A:A,"&gt;="&amp;A53,'Daily log'!A:A,"&lt;"&amp;EDATE(A53,1),'Daily log'!J:J,"Down")</f>
        <v/>
      </c>
      <c r="J53" s="5">
        <f>COUNTIFS('Daily log'!A:A,"&gt;="&amp;A53,'Daily log'!A:A,"&lt;"&amp;EDATE(A53,1))</f>
        <v/>
      </c>
      <c r="K53" s="5">
        <f>SUMIFS('Daily log'!R:R,'Daily log'!A:A,"&gt;="&amp;A53,'Daily log'!A:A,"&lt;"&amp;EDATE(A53,1))</f>
        <v/>
      </c>
      <c r="L53" s="9">
        <f>SUMIFS('Daily log'!U:U,'Daily log'!A:A,"&gt;="&amp;A53,'Daily log'!A:A,"&lt;"&amp;EDATE(A53,1))</f>
        <v/>
      </c>
    </row>
    <row r="54">
      <c r="A54" s="19" t="n">
        <v>46054</v>
      </c>
      <c r="B54" s="8">
        <f>INDEX('Daily log'!$C$2:$C$100000,MATCH(A54-1,'Daily log'!$A$2:$A$100000,1)+1)</f>
        <v/>
      </c>
      <c r="C54" s="8">
        <f>_xlfn.MAXIFS('Daily log'!D:D,'Daily log'!A:A,"&gt;="&amp;A54,'Daily log'!A:A,"&lt;"&amp;EDATE(A54,1))</f>
        <v/>
      </c>
      <c r="D54" s="8">
        <f>_xlfn.MINIFS('Daily log'!E:E,'Daily log'!A:A,"&gt;="&amp;A54,'Daily log'!A:A,"&lt;"&amp;EDATE(A54,1))</f>
        <v/>
      </c>
      <c r="E54" s="8">
        <f>INDEX('Daily log'!$F$2:$F$100000,MATCH(EDATE(A54,1)-1,'Daily log'!$A$2:$A$100000,1))</f>
        <v/>
      </c>
      <c r="F54" s="10">
        <f>IFERROR(E54/E53-1,E54/B54-1)</f>
        <v/>
      </c>
      <c r="G54" s="8">
        <f>IFERROR(AVERAGEIFS('Daily log'!I:I,'Daily log'!A:A,"&gt;="&amp;A54,'Daily log'!A:A,"&lt;"&amp;EDATE(A54,1)),"")</f>
        <v/>
      </c>
      <c r="H54" s="5">
        <f>COUNTIFS('Daily log'!A:A,"&gt;="&amp;A54,'Daily log'!A:A,"&lt;"&amp;EDATE(A54,1),'Daily log'!J:J,"Up")</f>
        <v/>
      </c>
      <c r="I54" s="5">
        <f>COUNTIFS('Daily log'!A:A,"&gt;="&amp;A54,'Daily log'!A:A,"&lt;"&amp;EDATE(A54,1),'Daily log'!J:J,"Down")</f>
        <v/>
      </c>
      <c r="J54" s="5">
        <f>COUNTIFS('Daily log'!A:A,"&gt;="&amp;A54,'Daily log'!A:A,"&lt;"&amp;EDATE(A54,1))</f>
        <v/>
      </c>
      <c r="K54" s="5">
        <f>SUMIFS('Daily log'!R:R,'Daily log'!A:A,"&gt;="&amp;A54,'Daily log'!A:A,"&lt;"&amp;EDATE(A54,1))</f>
        <v/>
      </c>
      <c r="L54" s="9">
        <f>SUMIFS('Daily log'!U:U,'Daily log'!A:A,"&gt;="&amp;A54,'Daily log'!A:A,"&lt;"&amp;EDATE(A54,1))</f>
        <v/>
      </c>
    </row>
    <row r="55">
      <c r="A55" s="19" t="n">
        <v>46082</v>
      </c>
      <c r="B55" s="8">
        <f>INDEX('Daily log'!$C$2:$C$100000,MATCH(A55-1,'Daily log'!$A$2:$A$100000,1)+1)</f>
        <v/>
      </c>
      <c r="C55" s="8">
        <f>_xlfn.MAXIFS('Daily log'!D:D,'Daily log'!A:A,"&gt;="&amp;A55,'Daily log'!A:A,"&lt;"&amp;EDATE(A55,1))</f>
        <v/>
      </c>
      <c r="D55" s="8">
        <f>_xlfn.MINIFS('Daily log'!E:E,'Daily log'!A:A,"&gt;="&amp;A55,'Daily log'!A:A,"&lt;"&amp;EDATE(A55,1))</f>
        <v/>
      </c>
      <c r="E55" s="8">
        <f>INDEX('Daily log'!$F$2:$F$100000,MATCH(EDATE(A55,1)-1,'Daily log'!$A$2:$A$100000,1))</f>
        <v/>
      </c>
      <c r="F55" s="10">
        <f>IFERROR(E55/E54-1,E55/B55-1)</f>
        <v/>
      </c>
      <c r="G55" s="8">
        <f>IFERROR(AVERAGEIFS('Daily log'!I:I,'Daily log'!A:A,"&gt;="&amp;A55,'Daily log'!A:A,"&lt;"&amp;EDATE(A55,1)),"")</f>
        <v/>
      </c>
      <c r="H55" s="5">
        <f>COUNTIFS('Daily log'!A:A,"&gt;="&amp;A55,'Daily log'!A:A,"&lt;"&amp;EDATE(A55,1),'Daily log'!J:J,"Up")</f>
        <v/>
      </c>
      <c r="I55" s="5">
        <f>COUNTIFS('Daily log'!A:A,"&gt;="&amp;A55,'Daily log'!A:A,"&lt;"&amp;EDATE(A55,1),'Daily log'!J:J,"Down")</f>
        <v/>
      </c>
      <c r="J55" s="5">
        <f>COUNTIFS('Daily log'!A:A,"&gt;="&amp;A55,'Daily log'!A:A,"&lt;"&amp;EDATE(A55,1))</f>
        <v/>
      </c>
      <c r="K55" s="5">
        <f>SUMIFS('Daily log'!R:R,'Daily log'!A:A,"&gt;="&amp;A55,'Daily log'!A:A,"&lt;"&amp;EDATE(A55,1))</f>
        <v/>
      </c>
      <c r="L55" s="9">
        <f>SUMIFS('Daily log'!U:U,'Daily log'!A:A,"&gt;="&amp;A55,'Daily log'!A:A,"&lt;"&amp;EDATE(A55,1))</f>
        <v/>
      </c>
    </row>
    <row r="56">
      <c r="A56" s="19" t="n">
        <v>46113</v>
      </c>
      <c r="B56" s="8">
        <f>INDEX('Daily log'!$C$2:$C$100000,MATCH(A56-1,'Daily log'!$A$2:$A$100000,1)+1)</f>
        <v/>
      </c>
      <c r="C56" s="8">
        <f>_xlfn.MAXIFS('Daily log'!D:D,'Daily log'!A:A,"&gt;="&amp;A56,'Daily log'!A:A,"&lt;"&amp;EDATE(A56,1))</f>
        <v/>
      </c>
      <c r="D56" s="8">
        <f>_xlfn.MINIFS('Daily log'!E:E,'Daily log'!A:A,"&gt;="&amp;A56,'Daily log'!A:A,"&lt;"&amp;EDATE(A56,1))</f>
        <v/>
      </c>
      <c r="E56" s="8">
        <f>INDEX('Daily log'!$F$2:$F$100000,MATCH(EDATE(A56,1)-1,'Daily log'!$A$2:$A$100000,1))</f>
        <v/>
      </c>
      <c r="F56" s="10">
        <f>IFERROR(E56/E55-1,E56/B56-1)</f>
        <v/>
      </c>
      <c r="G56" s="8">
        <f>IFERROR(AVERAGEIFS('Daily log'!I:I,'Daily log'!A:A,"&gt;="&amp;A56,'Daily log'!A:A,"&lt;"&amp;EDATE(A56,1)),"")</f>
        <v/>
      </c>
      <c r="H56" s="5">
        <f>COUNTIFS('Daily log'!A:A,"&gt;="&amp;A56,'Daily log'!A:A,"&lt;"&amp;EDATE(A56,1),'Daily log'!J:J,"Up")</f>
        <v/>
      </c>
      <c r="I56" s="5">
        <f>COUNTIFS('Daily log'!A:A,"&gt;="&amp;A56,'Daily log'!A:A,"&lt;"&amp;EDATE(A56,1),'Daily log'!J:J,"Down")</f>
        <v/>
      </c>
      <c r="J56" s="5">
        <f>COUNTIFS('Daily log'!A:A,"&gt;="&amp;A56,'Daily log'!A:A,"&lt;"&amp;EDATE(A56,1))</f>
        <v/>
      </c>
      <c r="K56" s="5">
        <f>SUMIFS('Daily log'!R:R,'Daily log'!A:A,"&gt;="&amp;A56,'Daily log'!A:A,"&lt;"&amp;EDATE(A56,1))</f>
        <v/>
      </c>
      <c r="L56" s="9">
        <f>SUMIFS('Daily log'!U:U,'Daily log'!A:A,"&gt;="&amp;A56,'Daily log'!A:A,"&lt;"&amp;EDATE(A56,1))</f>
        <v/>
      </c>
    </row>
    <row r="57">
      <c r="A57" s="19" t="n">
        <v>46143</v>
      </c>
      <c r="B57" s="8">
        <f>INDEX('Daily log'!$C$2:$C$100000,MATCH(A57-1,'Daily log'!$A$2:$A$100000,1)+1)</f>
        <v/>
      </c>
      <c r="C57" s="8">
        <f>_xlfn.MAXIFS('Daily log'!D:D,'Daily log'!A:A,"&gt;="&amp;A57,'Daily log'!A:A,"&lt;"&amp;EDATE(A57,1))</f>
        <v/>
      </c>
      <c r="D57" s="8">
        <f>_xlfn.MINIFS('Daily log'!E:E,'Daily log'!A:A,"&gt;="&amp;A57,'Daily log'!A:A,"&lt;"&amp;EDATE(A57,1))</f>
        <v/>
      </c>
      <c r="E57" s="8">
        <f>INDEX('Daily log'!$F$2:$F$100000,MATCH(EDATE(A57,1)-1,'Daily log'!$A$2:$A$100000,1))</f>
        <v/>
      </c>
      <c r="F57" s="10">
        <f>IFERROR(E57/E56-1,E57/B57-1)</f>
        <v/>
      </c>
      <c r="G57" s="8">
        <f>IFERROR(AVERAGEIFS('Daily log'!I:I,'Daily log'!A:A,"&gt;="&amp;A57,'Daily log'!A:A,"&lt;"&amp;EDATE(A57,1)),"")</f>
        <v/>
      </c>
      <c r="H57" s="5">
        <f>COUNTIFS('Daily log'!A:A,"&gt;="&amp;A57,'Daily log'!A:A,"&lt;"&amp;EDATE(A57,1),'Daily log'!J:J,"Up")</f>
        <v/>
      </c>
      <c r="I57" s="5">
        <f>COUNTIFS('Daily log'!A:A,"&gt;="&amp;A57,'Daily log'!A:A,"&lt;"&amp;EDATE(A57,1),'Daily log'!J:J,"Down")</f>
        <v/>
      </c>
      <c r="J57" s="5">
        <f>COUNTIFS('Daily log'!A:A,"&gt;="&amp;A57,'Daily log'!A:A,"&lt;"&amp;EDATE(A57,1))</f>
        <v/>
      </c>
      <c r="K57" s="5">
        <f>SUMIFS('Daily log'!R:R,'Daily log'!A:A,"&gt;="&amp;A57,'Daily log'!A:A,"&lt;"&amp;EDATE(A57,1))</f>
        <v/>
      </c>
      <c r="L57" s="9">
        <f>SUMIFS('Daily log'!U:U,'Daily log'!A:A,"&gt;="&amp;A57,'Daily log'!A:A,"&lt;"&amp;EDATE(A57,1))</f>
        <v/>
      </c>
    </row>
    <row r="58">
      <c r="A58" s="19" t="n">
        <v>46174</v>
      </c>
      <c r="B58" s="8">
        <f>INDEX('Daily log'!$C$2:$C$100000,MATCH(A58-1,'Daily log'!$A$2:$A$100000,1)+1)</f>
        <v/>
      </c>
      <c r="C58" s="8">
        <f>_xlfn.MAXIFS('Daily log'!D:D,'Daily log'!A:A,"&gt;="&amp;A58,'Daily log'!A:A,"&lt;"&amp;EDATE(A58,1))</f>
        <v/>
      </c>
      <c r="D58" s="8">
        <f>_xlfn.MINIFS('Daily log'!E:E,'Daily log'!A:A,"&gt;="&amp;A58,'Daily log'!A:A,"&lt;"&amp;EDATE(A58,1))</f>
        <v/>
      </c>
      <c r="E58" s="8">
        <f>INDEX('Daily log'!$F$2:$F$100000,MATCH(EDATE(A58,1)-1,'Daily log'!$A$2:$A$100000,1))</f>
        <v/>
      </c>
      <c r="F58" s="10">
        <f>IFERROR(E58/E57-1,E58/B58-1)</f>
        <v/>
      </c>
      <c r="G58" s="8">
        <f>IFERROR(AVERAGEIFS('Daily log'!I:I,'Daily log'!A:A,"&gt;="&amp;A58,'Daily log'!A:A,"&lt;"&amp;EDATE(A58,1)),"")</f>
        <v/>
      </c>
      <c r="H58" s="5">
        <f>COUNTIFS('Daily log'!A:A,"&gt;="&amp;A58,'Daily log'!A:A,"&lt;"&amp;EDATE(A58,1),'Daily log'!J:J,"Up")</f>
        <v/>
      </c>
      <c r="I58" s="5">
        <f>COUNTIFS('Daily log'!A:A,"&gt;="&amp;A58,'Daily log'!A:A,"&lt;"&amp;EDATE(A58,1),'Daily log'!J:J,"Down")</f>
        <v/>
      </c>
      <c r="J58" s="5">
        <f>COUNTIFS('Daily log'!A:A,"&gt;="&amp;A58,'Daily log'!A:A,"&lt;"&amp;EDATE(A58,1))</f>
        <v/>
      </c>
      <c r="K58" s="5">
        <f>SUMIFS('Daily log'!R:R,'Daily log'!A:A,"&gt;="&amp;A58,'Daily log'!A:A,"&lt;"&amp;EDATE(A58,1))</f>
        <v/>
      </c>
      <c r="L58" s="9">
        <f>SUMIFS('Daily log'!U:U,'Daily log'!A:A,"&gt;="&amp;A58,'Daily log'!A:A,"&lt;"&amp;EDATE(A58,1))</f>
        <v/>
      </c>
    </row>
    <row r="59">
      <c r="A59" s="19" t="n">
        <v>46204</v>
      </c>
      <c r="B59" s="8">
        <f>INDEX('Daily log'!$C$2:$C$100000,MATCH(A59-1,'Daily log'!$A$2:$A$100000,1)+1)</f>
        <v/>
      </c>
      <c r="C59" s="8">
        <f>_xlfn.MAXIFS('Daily log'!D:D,'Daily log'!A:A,"&gt;="&amp;A59,'Daily log'!A:A,"&lt;"&amp;EDATE(A59,1))</f>
        <v/>
      </c>
      <c r="D59" s="8">
        <f>_xlfn.MINIFS('Daily log'!E:E,'Daily log'!A:A,"&gt;="&amp;A59,'Daily log'!A:A,"&lt;"&amp;EDATE(A59,1))</f>
        <v/>
      </c>
      <c r="E59" s="8">
        <f>INDEX('Daily log'!$F$2:$F$100000,MATCH(EDATE(A59,1)-1,'Daily log'!$A$2:$A$100000,1))</f>
        <v/>
      </c>
      <c r="F59" s="10">
        <f>IFERROR(E59/E58-1,E59/B59-1)</f>
        <v/>
      </c>
      <c r="G59" s="8">
        <f>IFERROR(AVERAGEIFS('Daily log'!I:I,'Daily log'!A:A,"&gt;="&amp;A59,'Daily log'!A:A,"&lt;"&amp;EDATE(A59,1)),"")</f>
        <v/>
      </c>
      <c r="H59" s="5">
        <f>COUNTIFS('Daily log'!A:A,"&gt;="&amp;A59,'Daily log'!A:A,"&lt;"&amp;EDATE(A59,1),'Daily log'!J:J,"Up")</f>
        <v/>
      </c>
      <c r="I59" s="5">
        <f>COUNTIFS('Daily log'!A:A,"&gt;="&amp;A59,'Daily log'!A:A,"&lt;"&amp;EDATE(A59,1),'Daily log'!J:J,"Down")</f>
        <v/>
      </c>
      <c r="J59" s="5">
        <f>COUNTIFS('Daily log'!A:A,"&gt;="&amp;A59,'Daily log'!A:A,"&lt;"&amp;EDATE(A59,1))</f>
        <v/>
      </c>
      <c r="K59" s="5">
        <f>SUMIFS('Daily log'!R:R,'Daily log'!A:A,"&gt;="&amp;A59,'Daily log'!A:A,"&lt;"&amp;EDATE(A59,1))</f>
        <v/>
      </c>
      <c r="L59" s="9">
        <f>SUMIFS('Daily log'!U:U,'Daily log'!A:A,"&gt;="&amp;A59,'Daily log'!A:A,"&lt;"&amp;EDATE(A59,1))</f>
        <v/>
      </c>
    </row>
    <row r="60">
      <c r="A60" s="19" t="n">
        <v>46235</v>
      </c>
      <c r="B60" s="8">
        <f>INDEX('Daily log'!$C$2:$C$100000,MATCH(A60-1,'Daily log'!$A$2:$A$100000,1)+1)</f>
        <v/>
      </c>
      <c r="C60" s="8">
        <f>_xlfn.MAXIFS('Daily log'!D:D,'Daily log'!A:A,"&gt;="&amp;A60,'Daily log'!A:A,"&lt;"&amp;EDATE(A60,1))</f>
        <v/>
      </c>
      <c r="D60" s="8">
        <f>_xlfn.MINIFS('Daily log'!E:E,'Daily log'!A:A,"&gt;="&amp;A60,'Daily log'!A:A,"&lt;"&amp;EDATE(A60,1))</f>
        <v/>
      </c>
      <c r="E60" s="8">
        <f>INDEX('Daily log'!$F$2:$F$100000,MATCH(EDATE(A60,1)-1,'Daily log'!$A$2:$A$100000,1))</f>
        <v/>
      </c>
      <c r="F60" s="10">
        <f>IFERROR(E60/E59-1,E60/B60-1)</f>
        <v/>
      </c>
      <c r="G60" s="8">
        <f>IFERROR(AVERAGEIFS('Daily log'!I:I,'Daily log'!A:A,"&gt;="&amp;A60,'Daily log'!A:A,"&lt;"&amp;EDATE(A60,1)),"")</f>
        <v/>
      </c>
      <c r="H60" s="5">
        <f>COUNTIFS('Daily log'!A:A,"&gt;="&amp;A60,'Daily log'!A:A,"&lt;"&amp;EDATE(A60,1),'Daily log'!J:J,"Up")</f>
        <v/>
      </c>
      <c r="I60" s="5">
        <f>COUNTIFS('Daily log'!A:A,"&gt;="&amp;A60,'Daily log'!A:A,"&lt;"&amp;EDATE(A60,1),'Daily log'!J:J,"Down")</f>
        <v/>
      </c>
      <c r="J60" s="5">
        <f>COUNTIFS('Daily log'!A:A,"&gt;="&amp;A60,'Daily log'!A:A,"&lt;"&amp;EDATE(A60,1))</f>
        <v/>
      </c>
      <c r="K60" s="5">
        <f>SUMIFS('Daily log'!R:R,'Daily log'!A:A,"&gt;="&amp;A60,'Daily log'!A:A,"&lt;"&amp;EDATE(A60,1))</f>
        <v/>
      </c>
      <c r="L60" s="9">
        <f>SUMIFS('Daily log'!U:U,'Daily log'!A:A,"&gt;="&amp;A60,'Daily log'!A:A,"&lt;"&amp;EDATE(A60,1))</f>
        <v/>
      </c>
    </row>
    <row r="61">
      <c r="A61" s="19" t="n">
        <v>46266</v>
      </c>
      <c r="B61" s="8">
        <f>INDEX('Daily log'!$C$2:$C$100000,MATCH(A61-1,'Daily log'!$A$2:$A$100000,1)+1)</f>
        <v/>
      </c>
      <c r="C61" s="8">
        <f>_xlfn.MAXIFS('Daily log'!D:D,'Daily log'!A:A,"&gt;="&amp;A61,'Daily log'!A:A,"&lt;"&amp;EDATE(A61,1))</f>
        <v/>
      </c>
      <c r="D61" s="8">
        <f>_xlfn.MINIFS('Daily log'!E:E,'Daily log'!A:A,"&gt;="&amp;A61,'Daily log'!A:A,"&lt;"&amp;EDATE(A61,1))</f>
        <v/>
      </c>
      <c r="E61" s="8">
        <f>INDEX('Daily log'!$F$2:$F$100000,MATCH(EDATE(A61,1)-1,'Daily log'!$A$2:$A$100000,1))</f>
        <v/>
      </c>
      <c r="F61" s="10">
        <f>IFERROR(E61/E60-1,E61/B61-1)</f>
        <v/>
      </c>
      <c r="G61" s="8">
        <f>IFERROR(AVERAGEIFS('Daily log'!I:I,'Daily log'!A:A,"&gt;="&amp;A61,'Daily log'!A:A,"&lt;"&amp;EDATE(A61,1)),"")</f>
        <v/>
      </c>
      <c r="H61" s="5">
        <f>COUNTIFS('Daily log'!A:A,"&gt;="&amp;A61,'Daily log'!A:A,"&lt;"&amp;EDATE(A61,1),'Daily log'!J:J,"Up")</f>
        <v/>
      </c>
      <c r="I61" s="5">
        <f>COUNTIFS('Daily log'!A:A,"&gt;="&amp;A61,'Daily log'!A:A,"&lt;"&amp;EDATE(A61,1),'Daily log'!J:J,"Down")</f>
        <v/>
      </c>
      <c r="J61" s="5">
        <f>COUNTIFS('Daily log'!A:A,"&gt;="&amp;A61,'Daily log'!A:A,"&lt;"&amp;EDATE(A61,1))</f>
        <v/>
      </c>
      <c r="K61" s="5">
        <f>SUMIFS('Daily log'!R:R,'Daily log'!A:A,"&gt;="&amp;A61,'Daily log'!A:A,"&lt;"&amp;EDATE(A61,1))</f>
        <v/>
      </c>
      <c r="L61" s="9">
        <f>SUMIFS('Daily log'!U:U,'Daily log'!A:A,"&gt;="&amp;A61,'Daily log'!A:A,"&lt;"&amp;EDATE(A61,1))</f>
        <v/>
      </c>
    </row>
    <row r="62">
      <c r="A62" s="19" t="n">
        <v>46296</v>
      </c>
      <c r="B62" s="8">
        <f>INDEX('Daily log'!$C$2:$C$100000,MATCH(A62-1,'Daily log'!$A$2:$A$100000,1)+1)</f>
        <v/>
      </c>
      <c r="C62" s="8">
        <f>_xlfn.MAXIFS('Daily log'!D:D,'Daily log'!A:A,"&gt;="&amp;A62,'Daily log'!A:A,"&lt;"&amp;EDATE(A62,1))</f>
        <v/>
      </c>
      <c r="D62" s="8">
        <f>_xlfn.MINIFS('Daily log'!E:E,'Daily log'!A:A,"&gt;="&amp;A62,'Daily log'!A:A,"&lt;"&amp;EDATE(A62,1))</f>
        <v/>
      </c>
      <c r="E62" s="8">
        <f>INDEX('Daily log'!$F$2:$F$100000,MATCH(EDATE(A62,1)-1,'Daily log'!$A$2:$A$100000,1))</f>
        <v/>
      </c>
      <c r="F62" s="10">
        <f>IFERROR(E62/E61-1,E62/B62-1)</f>
        <v/>
      </c>
      <c r="G62" s="8">
        <f>IFERROR(AVERAGEIFS('Daily log'!I:I,'Daily log'!A:A,"&gt;="&amp;A62,'Daily log'!A:A,"&lt;"&amp;EDATE(A62,1)),"")</f>
        <v/>
      </c>
      <c r="H62" s="5">
        <f>COUNTIFS('Daily log'!A:A,"&gt;="&amp;A62,'Daily log'!A:A,"&lt;"&amp;EDATE(A62,1),'Daily log'!J:J,"Up")</f>
        <v/>
      </c>
      <c r="I62" s="5">
        <f>COUNTIFS('Daily log'!A:A,"&gt;="&amp;A62,'Daily log'!A:A,"&lt;"&amp;EDATE(A62,1),'Daily log'!J:J,"Down")</f>
        <v/>
      </c>
      <c r="J62" s="5">
        <f>COUNTIFS('Daily log'!A:A,"&gt;="&amp;A62,'Daily log'!A:A,"&lt;"&amp;EDATE(A62,1))</f>
        <v/>
      </c>
      <c r="K62" s="5">
        <f>SUMIFS('Daily log'!R:R,'Daily log'!A:A,"&gt;="&amp;A62,'Daily log'!A:A,"&lt;"&amp;EDATE(A62,1))</f>
        <v/>
      </c>
      <c r="L62" s="9">
        <f>SUMIFS('Daily log'!U:U,'Daily log'!A:A,"&gt;="&amp;A62,'Daily log'!A:A,"&lt;"&amp;EDATE(A62,1))</f>
        <v/>
      </c>
    </row>
  </sheetData>
  <conditionalFormatting sqref="F2:F6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0" t="inlineStr">
        <is>
          <t>What this is</t>
        </is>
      </c>
      <c r="B1" s="21" t="inlineStr">
        <is>
          <t>A daily record of gold (XAUUSD) prices, updated automatically after each trading day.</t>
        </is>
      </c>
    </row>
    <row r="2">
      <c r="A2" s="20" t="inlineStr">
        <is>
          <t>Price source</t>
        </is>
      </c>
      <c r="B2" s="21" t="inlineStr">
        <is>
          <t>Spot XAU/USD (Twelve Data)</t>
        </is>
      </c>
    </row>
    <row r="3">
      <c r="A3" s="20" t="inlineStr">
        <is>
          <t>Volume</t>
        </is>
      </c>
      <c r="B3" s="21" t="inlineStr">
        <is>
          <t>COMEX gold futures daily volume (Yahoo). Blank when unavailable.</t>
        </is>
      </c>
    </row>
    <row r="4">
      <c r="A4" s="20" t="inlineStr">
        <is>
          <t>Signals, Wins, Losses, Net R</t>
        </is>
      </c>
      <c r="B4" s="21" t="inlineStr">
        <is>
          <t>From the gold-agent journal: LONG/SHORT signals that fired that day (UTC date).</t>
        </is>
      </c>
    </row>
    <row r="5">
      <c r="A5" s="20" t="inlineStr">
        <is>
          <t>Blue numbers</t>
        </is>
      </c>
      <c r="B5" s="21" t="inlineStr">
        <is>
          <t>Imported data: prices, indicators, volume, signals.</t>
        </is>
      </c>
    </row>
    <row r="6">
      <c r="A6" s="20" t="inlineStr">
        <is>
          <t>Black cells</t>
        </is>
      </c>
      <c r="B6" s="21" t="inlineStr">
        <is>
          <t>Formulas: changes, range, direction, trend, and everything on Summary and Monthly.</t>
        </is>
      </c>
    </row>
    <row r="7">
      <c r="A7" s="20" t="inlineStr">
        <is>
          <t>Indicators</t>
        </is>
      </c>
      <c r="B7" s="21" t="inlineStr">
        <is>
          <t>EMA 20/50/200, RSI 14 and ATR 14 on daily candles. Blank until enough history exists.</t>
        </is>
      </c>
    </row>
    <row r="8">
      <c r="A8" s="20" t="inlineStr">
        <is>
          <t>Download</t>
        </is>
      </c>
      <c r="B8" s="21" t="inlineStr">
        <is>
          <t>Latest copy: basemayman-ux.github.io/gold-agent/data/XAUUSD_daily_log.xlsx</t>
        </is>
      </c>
    </row>
    <row r="9">
      <c r="A9" s="20" t="inlineStr">
        <is>
          <t>Your own notes</t>
        </is>
      </c>
      <c r="B9" s="21" t="inlineStr">
        <is>
          <t>This file is rebuilt every day. Save a copy before adding your own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2026-10-29T01:52:48Z</dcterms:created>
  <dcterms:modified xmlns:dcterms="http://purl.org/dc/terms/" xmlns:xsi="http://www.w3.org/2001/XMLSchema-instance" xsi:type="dcterms:W3CDTF">2026-10-29T01:52:48Z</dcterms:modified>
</cp:coreProperties>
</file>