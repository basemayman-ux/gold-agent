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161101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73.81999999999999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161101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4020.92</v>
      </c>
      <c r="F1274" s="14" t="n">
        <v>4026.14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77.23999999999999</v>
      </c>
      <c r="L1274" s="15" t="n">
        <v>34.65</v>
      </c>
      <c r="M1274" s="14" t="n">
        <v>4165.26</v>
      </c>
      <c r="N1274" s="14" t="n">
        <v>4240.51</v>
      </c>
      <c r="O1274" s="14" t="n">
        <v>4300.68</v>
      </c>
      <c r="P1274" s="4">
        <f>IF(O1274="","",IF(F1274&gt;O1274,"Above","Below"))</f>
        <v/>
      </c>
      <c r="Q1274" s="16" t="n">
        <v>10225</v>
      </c>
      <c r="R1274" s="17" t="n">
        <v>5</v>
      </c>
      <c r="S1274" s="17" t="n">
        <v>3</v>
      </c>
      <c r="T1274" s="17" t="n">
        <v>2</v>
      </c>
      <c r="U1274" s="18" t="n">
        <v>3</v>
      </c>
    </row>
    <row r="1275">
      <c r="A1275" s="13" t="n">
        <v>46318</v>
      </c>
      <c r="B1275" s="4">
        <f>TEXT(A1275,"ddd")</f>
        <v/>
      </c>
      <c r="C1275" s="14" t="n">
        <v>4026.45</v>
      </c>
      <c r="D1275" s="14" t="n">
        <v>4032.26</v>
      </c>
      <c r="E1275" s="14" t="n">
        <v>4017.03</v>
      </c>
      <c r="F1275" s="14" t="n">
        <v>4018.19</v>
      </c>
      <c r="G1275" s="9">
        <f>F1275-F1274</f>
        <v/>
      </c>
      <c r="H1275" s="10">
        <f>IF(F1274=0,0,G1275/F1274)</f>
        <v/>
      </c>
      <c r="I1275" s="8">
        <f>D1275-E1275</f>
        <v/>
      </c>
      <c r="J1275" s="4">
        <f>IF(F1275&gt;C1275,"Up",IF(F1275&lt;C1275,"Down","Flat"))</f>
        <v/>
      </c>
      <c r="K1275" s="14" t="n">
        <v>72.81</v>
      </c>
      <c r="L1275" s="15" t="n">
        <v>34.14</v>
      </c>
      <c r="M1275" s="14" t="n">
        <v>4151.25</v>
      </c>
      <c r="N1275" s="14" t="n">
        <v>4231.79</v>
      </c>
      <c r="O1275" s="14" t="n">
        <v>4297.87</v>
      </c>
      <c r="P1275" s="4">
        <f>IF(O1275="","",IF(F1275&gt;O1275,"Above","Below"))</f>
        <v/>
      </c>
      <c r="Q1275" s="16" t="n"/>
      <c r="R1275" s="17" t="n">
        <v>0</v>
      </c>
      <c r="S1275" s="17" t="n">
        <v>0</v>
      </c>
      <c r="T1275" s="17" t="n">
        <v>0</v>
      </c>
      <c r="U1275" s="18" t="n">
        <v>0</v>
      </c>
    </row>
  </sheetData>
  <autoFilter ref="A1:U1275"/>
  <conditionalFormatting sqref="G2:H1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5">
    <cfRule type="expression" priority="3" dxfId="0">
      <formula>J2="Up"</formula>
    </cfRule>
    <cfRule type="expression" priority="4" dxfId="1">
      <formula>J2="Down"</formula>
    </cfRule>
  </conditionalFormatting>
  <conditionalFormatting sqref="U2:U1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2026-10-23T00:45:13Z</dcterms:created>
  <dcterms:modified xmlns:dcterms="http://purl.org/dc/terms/" xmlns:xsi="http://www.w3.org/2001/XMLSchema-instance" xsi:type="dcterms:W3CDTF">2026-10-23T00:45:13Z</dcterms:modified>
</cp:coreProperties>
</file>